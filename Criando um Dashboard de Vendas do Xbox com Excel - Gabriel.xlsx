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R:\LOJA\EVE\NOVO\LS\_GABRIEL\"/>
    </mc:Choice>
  </mc:AlternateContent>
  <xr:revisionPtr revIDLastSave="0" documentId="13_ncr:1_{83A2D7E3-E10B-4E36-9F56-5D8A5ADDE06C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Subscription_Type">#N/A</definedName>
  </definedNames>
  <calcPr calcId="19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3" l="1"/>
  <c r="C9" i="3"/>
  <c r="C16" i="3"/>
  <c r="C36" i="3"/>
  <c r="C46" i="3"/>
</calcChain>
</file>

<file path=xl/sharedStrings.xml><?xml version="1.0" encoding="utf-8"?>
<sst xmlns="http://schemas.openxmlformats.org/spreadsheetml/2006/main" count="2057" uniqueCount="342">
  <si>
    <t>Paleta de Cores</t>
  </si>
  <si>
    <t>Logos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</si>
  <si>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</si>
  <si>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</si>
  <si>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</si>
  <si>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</si>
  <si>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</si>
  <si>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</si>
  <si>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</si>
  <si>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</si>
  <si>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</si>
  <si>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</si>
  <si>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</si>
  <si>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</si>
  <si>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</si>
  <si>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</si>
  <si>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</si>
  <si>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</si>
  <si>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</si>
  <si>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</si>
  <si>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</si>
  <si>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</si>
  <si>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</si>
  <si>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</si>
  <si>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</si>
  <si>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</si>
  <si>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</si>
  <si>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</si>
  <si>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</si>
  <si>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</si>
  <si>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</si>
  <si>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</si>
  <si>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</si>
  <si>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</si>
  <si>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</si>
  <si>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</si>
  <si>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</si>
  <si>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</si>
  <si>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</si>
  <si>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</si>
  <si>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</si>
  <si>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</si>
  <si>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</si>
  <si>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</si>
  <si>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</si>
  <si>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</si>
  <si>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</si>
  <si>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</si>
  <si>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</si>
  <si>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</si>
  <si>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</si>
  <si>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</si>
  <si>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</si>
  <si>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</si>
  <si>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</si>
  <si>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</si>
  <si>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</si>
  <si>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</si>
  <si>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</si>
  <si>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</si>
  <si>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</si>
  <si>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</si>
  <si>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</si>
  <si>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</si>
  <si>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</si>
  <si>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</si>
  <si>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</si>
  <si>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</si>
  <si>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</si>
  <si>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</si>
  <si>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</si>
  <si>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</si>
  <si>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</si>
  <si>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</si>
  <si>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</si>
  <si>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</si>
  <si>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</si>
  <si>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</si>
  <si>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</si>
  <si>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</si>
  <si>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</si>
  <si>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</si>
  <si>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</si>
  <si>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</si>
  <si>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</si>
  <si>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</si>
  <si>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</si>
  <si>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</si>
  <si>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</si>
  <si>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</si>
  <si>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</si>
  <si>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</si>
  <si>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</si>
  <si>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</si>
  <si>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</si>
  <si>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</si>
  <si>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</si>
  <si>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</si>
  <si>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</si>
  <si>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</si>
  <si>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</si>
  <si>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</si>
  <si>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</si>
  <si>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</si>
  <si>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</si>
  <si>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</si>
  <si>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</si>
  <si>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</si>
  <si>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</si>
  <si>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</si>
  <si>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</si>
  <si>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</si>
  <si>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</si>
  <si>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</si>
  <si>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</si>
  <si>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</si>
  <si>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</si>
  <si>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</si>
  <si>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</si>
  <si>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</si>
  <si>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</si>
  <si>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</si>
  <si>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</si>
  <si>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</si>
  <si>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</si>
  <si>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</si>
  <si>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</si>
  <si>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</si>
  <si>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</si>
  <si>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</si>
  <si>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</si>
  <si>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</si>
  <si>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</si>
  <si>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</si>
  <si>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</si>
  <si>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</si>
  <si>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</si>
  <si>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</si>
  <si>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</si>
  <si>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</si>
  <si>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</si>
  <si>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</si>
  <si>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</si>
  <si>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</si>
  <si>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</si>
  <si>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</si>
  <si>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</si>
  <si>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</si>
  <si>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</si>
  <si>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</si>
  <si>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</si>
  <si>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</si>
  <si>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</si>
  <si>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</si>
  <si>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</si>
  <si>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</si>
  <si>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</si>
  <si>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</si>
  <si>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</si>
  <si>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</si>
  <si>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</si>
  <si>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</si>
  <si>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</si>
  <si>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</si>
  <si>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</si>
  <si>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</si>
  <si>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</si>
  <si>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</si>
  <si>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</si>
  <si>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</si>
  <si>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</si>
  <si>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</si>
  <si>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</si>
  <si>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</si>
  <si>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</si>
  <si>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</si>
  <si>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</si>
  <si>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</si>
  <si>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</si>
  <si>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</si>
  <si>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</si>
  <si>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</si>
  <si>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</si>
  <si>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</si>
  <si>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</si>
  <si>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</si>
  <si>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</si>
  <si>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</si>
  <si>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</si>
  <si>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</si>
  <si>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</si>
  <si>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</si>
  <si>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</si>
  <si>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</si>
  <si>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</si>
  <si>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</si>
  <si>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</si>
  <si>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</si>
  <si>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</si>
  <si>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</si>
  <si>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</si>
  <si>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</si>
  <si>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</si>
  <si>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</si>
  <si>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</si>
  <si>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</si>
  <si>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</si>
  <si>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</si>
  <si>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</si>
  <si>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</si>
  <si>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</si>
  <si>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</si>
  <si>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</si>
  <si>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</si>
  <si>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</si>
  <si>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</si>
  <si>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</si>
  <si>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</si>
  <si>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</si>
  <si>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</si>
  <si>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</si>
  <si>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</si>
  <si>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</si>
  <si>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</si>
  <si>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</si>
  <si>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</si>
  <si>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</si>
  <si>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</si>
  <si>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</si>
  <si>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</si>
  <si>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</si>
  <si>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</si>
  <si>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</si>
  <si>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</si>
  <si>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</si>
  <si>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</si>
  <si>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</si>
  <si>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</si>
  <si>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</si>
  <si>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</si>
  <si>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</si>
  <si>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</si>
  <si>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</si>
  <si>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</si>
  <si>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</si>
  <si>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</si>
  <si>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</si>
  <si>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</si>
  <si>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</si>
  <si>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</si>
  <si>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</si>
  <si>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</si>
  <si>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</si>
  <si>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</si>
  <si>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</si>
  <si>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</si>
  <si>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</si>
  <si>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</si>
  <si>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</si>
  <si>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</si>
  <si>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</si>
  <si>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</si>
  <si>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</si>
  <si>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</si>
  <si>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</si>
  <si>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</si>
  <si>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</si>
  <si>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</si>
  <si>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</si>
  <si>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</si>
  <si>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</si>
  <si>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</si>
  <si>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</si>
  <si>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</si>
  <si>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</si>
  <si>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</si>
  <si>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</si>
  <si>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</si>
  <si>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</si>
  <si>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</si>
  <si>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</si>
  <si>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</si>
  <si>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</si>
  <si>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</si>
  <si>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</si>
  <si>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</si>
  <si>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</si>
  <si>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</si>
  <si>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</si>
  <si>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</si>
  <si>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</si>
  <si>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</si>
  <si>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</si>
  <si>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</si>
  <si>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</si>
  <si>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</si>
  <si>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</si>
  <si>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</si>
  <si>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</si>
  <si>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</si>
  <si>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</si>
  <si>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</si>
  <si>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</si>
  <si>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</si>
  <si>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</si>
  <si>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</si>
  <si>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</si>
  <si>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</si>
  <si>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</si>
  <si>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</si>
  <si>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</si>
  <si>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Data de apuração:</t>
  </si>
  <si>
    <t>2024 (Jan - Dez)</t>
  </si>
  <si>
    <t>#1: Qual porcentagem de assinaturas com renovação automática e manual</t>
  </si>
  <si>
    <t>Contagem de Subscriber ID</t>
  </si>
  <si>
    <t>Soma de Total Value</t>
  </si>
  <si>
    <t>#3: Qual o valor total dos planos (variando de acordo com o tipo)</t>
  </si>
  <si>
    <t>#2: Qual valor toal de assinaturas com renovação automática e manual</t>
  </si>
  <si>
    <t>#4: Total de vendas com EA Play Season Pass</t>
  </si>
  <si>
    <t>Soma de EA Play Season Pass</t>
  </si>
  <si>
    <t>#5: Total de vendas com EA Minecraft Season Pass</t>
  </si>
  <si>
    <t>Soma de Minecraft Season Pass Price</t>
  </si>
  <si>
    <t>Contagem de Minecraft Season Pass</t>
  </si>
  <si>
    <t>#6: Quantas pessoas que assinam EA Season Pass também assinam EA Minecraft Season ?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</si>
  <si>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</si>
  <si>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</si>
  <si>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</si>
  <si>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</si>
  <si>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</si>
  <si>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</si>
  <si>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</si>
  <si>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</si>
  <si>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</si>
  <si>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</si>
  <si>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</si>
  <si>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</si>
  <si>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#7: Vendas ao longo do ano</t>
  </si>
  <si>
    <t>#2AE6B1</t>
  </si>
  <si>
    <t>#5BF6A8</t>
  </si>
  <si>
    <t>#22C55E</t>
  </si>
  <si>
    <t>#9BC848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</si>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</sst>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18"/>
      <color rgb="FF5BF6A8"/>
      <name val="Aptos Narrow"/>
      <family val="2"/>
      <scheme val="minor"/>
    </font>
    <font>
      <b/>
      <sz val="28"/>
      <color rgb="FF22C55E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rgb="FF2AE6B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14" applyNumberFormat="0" applyFill="0" applyAlignment="0" applyProtection="0"/>
  </cellStyleXfs>
  <cellXfs count="7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/>
    <xf numFmtId="44" fontId="0" fillId="8" borderId="0" xfId="2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44" fontId="0" fillId="9" borderId="0" xfId="2" applyFont="1" applyFill="1" applyAlignment="1">
      <alignment horizontal="center" vertical="center" wrapText="1"/>
    </xf>
    <xf numFmtId="0" fontId="0" fillId="9" borderId="0" xfId="0" applyFill="1"/>
    <xf numFmtId="44" fontId="0" fillId="10" borderId="0" xfId="2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/>
    <xf numFmtId="0" fontId="3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0" xfId="0" applyFill="1"/>
    <xf numFmtId="0" fontId="4" fillId="10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0" fillId="8" borderId="3" xfId="0" applyFill="1" applyBorder="1"/>
    <xf numFmtId="0" fontId="0" fillId="8" borderId="4" xfId="0" applyFill="1" applyBorder="1" applyAlignment="1">
      <alignment horizontal="center"/>
    </xf>
    <xf numFmtId="0" fontId="0" fillId="8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8" borderId="4" xfId="0" applyFill="1" applyBorder="1"/>
    <xf numFmtId="44" fontId="0" fillId="0" borderId="8" xfId="2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44" fontId="0" fillId="0" borderId="9" xfId="0" applyNumberFormat="1" applyBorder="1"/>
    <xf numFmtId="44" fontId="0" fillId="0" borderId="11" xfId="0" applyNumberFormat="1" applyBorder="1"/>
    <xf numFmtId="0" fontId="6" fillId="0" borderId="15" xfId="4" applyFont="1" applyFill="1" applyBorder="1"/>
    <xf numFmtId="0" fontId="7" fillId="0" borderId="15" xfId="4" applyFont="1" applyFill="1" applyBorder="1"/>
    <xf numFmtId="0" fontId="0" fillId="12" borderId="3" xfId="0" applyFill="1" applyBorder="1" applyAlignment="1">
      <alignment horizontal="left"/>
    </xf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 applyAlignment="1">
      <alignment horizontal="left"/>
    </xf>
    <xf numFmtId="0" fontId="0" fillId="12" borderId="0" xfId="0" applyFill="1"/>
    <xf numFmtId="0" fontId="0" fillId="12" borderId="7" xfId="0" applyFill="1" applyBorder="1"/>
    <xf numFmtId="0" fontId="0" fillId="12" borderId="12" xfId="0" applyFill="1" applyBorder="1"/>
    <xf numFmtId="0" fontId="0" fillId="12" borderId="13" xfId="0" applyFill="1" applyBorder="1"/>
    <xf numFmtId="0" fontId="0" fillId="12" borderId="2" xfId="0" applyFill="1" applyBorder="1"/>
    <xf numFmtId="0" fontId="0" fillId="12" borderId="9" xfId="0" applyFill="1" applyBorder="1" applyAlignment="1">
      <alignment horizontal="left"/>
    </xf>
    <xf numFmtId="0" fontId="0" fillId="12" borderId="9" xfId="0" applyFill="1" applyBorder="1"/>
    <xf numFmtId="0" fontId="0" fillId="12" borderId="10" xfId="0" applyFill="1" applyBorder="1" applyAlignment="1">
      <alignment horizontal="left"/>
    </xf>
    <xf numFmtId="0" fontId="0" fillId="12" borderId="10" xfId="0" applyFill="1" applyBorder="1"/>
    <xf numFmtId="0" fontId="0" fillId="12" borderId="11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2" borderId="11" xfId="0" applyFill="1" applyBorder="1"/>
    <xf numFmtId="44" fontId="0" fillId="12" borderId="8" xfId="2" applyFont="1" applyFill="1" applyBorder="1"/>
    <xf numFmtId="44" fontId="0" fillId="12" borderId="9" xfId="0" applyNumberFormat="1" applyFill="1" applyBorder="1"/>
    <xf numFmtId="44" fontId="0" fillId="12" borderId="10" xfId="0" applyNumberFormat="1" applyFill="1" applyBorder="1"/>
    <xf numFmtId="44" fontId="0" fillId="12" borderId="11" xfId="0" applyNumberFormat="1" applyFill="1" applyBorder="1"/>
    <xf numFmtId="0" fontId="0" fillId="12" borderId="6" xfId="0" applyFill="1" applyBorder="1"/>
    <xf numFmtId="0" fontId="0" fillId="12" borderId="8" xfId="0" applyFill="1" applyBorder="1"/>
    <xf numFmtId="10" fontId="0" fillId="12" borderId="8" xfId="3" applyNumberFormat="1" applyFont="1" applyFill="1" applyBorder="1"/>
    <xf numFmtId="44" fontId="0" fillId="0" borderId="10" xfId="0" applyNumberFormat="1" applyBorder="1"/>
    <xf numFmtId="0" fontId="8" fillId="0" borderId="15" xfId="4" applyFont="1" applyFill="1" applyBorder="1"/>
  </cellXfs>
  <cellStyles count="5">
    <cellStyle name="Moeda" xfId="2" builtinId="4"/>
    <cellStyle name="Normal" xfId="0" builtinId="0"/>
    <cellStyle name="Porcentagem" xfId="3" builtinId="5"/>
    <cellStyle name="Título 1" xfId="1" builtinId="16"/>
    <cellStyle name="Título 3" xfId="4" builtinId="18"/>
  </cellStyles>
  <dxfs count="91"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rgb="FF22C55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color rgb="FF22C55E"/>
      </font>
    </dxf>
    <dxf>
      <font>
        <color rgb="FF22C55E"/>
      </font>
    </dxf>
    <dxf>
      <font>
        <color rgb="FF22C55E"/>
      </font>
    </dxf>
  </dxfs>
  <tableStyles count="4" defaultTableStyle="TableStyleMedium2" defaultPivotStyle="PivotStyleLight16">
    <tableStyle name="Estilo de Segmentação de Dados 1" pivot="0" table="0" count="1" xr9:uid="{20F288E7-8636-42C7-90AA-241403CD29B0}">
      <tableStyleElement type="wholeTable" dxfId="90"/>
    </tableStyle>
    <tableStyle name="Estilo de Segmentação de Dados 2" pivot="0" table="0" count="1" xr9:uid="{234B90A1-56ED-46BC-BE66-57C31F0744BF}">
      <tableStyleElement type="wholeTable" dxfId="89"/>
    </tableStyle>
    <tableStyle name="Estilo de Segmentação de Dados 3" pivot="0" table="0" count="1" xr9:uid="{5BC87D4F-CA22-4C14-8DBE-E059EFDA6EA9}">
      <tableStyleElement type="wholeTable" dxfId="88"/>
    </tableStyle>
    <tableStyle name="SlicerStyleLight6 2" pivot="0" table="0" count="10" xr9:uid="{3B7FC669-DEA4-4538-BB78-B352A8B6E069}">
      <tableStyleElement type="wholeTable" dxfId="87"/>
      <tableStyleElement type="headerRow" dxfId="86"/>
    </tableStyle>
  </tableStyles>
  <colors>
    <mruColors>
      <color rgb="FF22C55E"/>
      <color rgb="FF9BC848"/>
      <color rgb="FF2AE6B1"/>
      <color rgb="FF5BF6A8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 um Dashboard de Vendas do Xbox com Excel - Gabriel.xlsx]C̳álculos!Tabela dinâmica2</c:name>
    <c:fmtId val="10"/>
  </c:pivotSource>
  <c:chart>
    <c:autoTitleDeleted val="1"/>
    <c:pivotFmts>
      <c:pivotFmt>
        <c:idx val="0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572967650747229E-2"/>
          <c:y val="0.11760924549157084"/>
          <c:w val="0.89452238386148497"/>
          <c:h val="0.662571663586226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cat>
            <c:strRef>
              <c:f>C̳álculos!$A$58:$A$70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C̳álculos!$B$58:$B$70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2-4C5D-84F9-FF23CBAC2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70488735"/>
        <c:axId val="70490175"/>
      </c:barChart>
      <c:catAx>
        <c:axId val="7048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490175"/>
        <c:crosses val="autoZero"/>
        <c:auto val="1"/>
        <c:lblAlgn val="ctr"/>
        <c:lblOffset val="100"/>
        <c:noMultiLvlLbl val="0"/>
      </c:catAx>
      <c:valAx>
        <c:axId val="70490175"/>
        <c:scaling>
          <c:orientation val="minMax"/>
          <c:max val="9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2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488735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 um Dashboard de Vendas do Xbox com Excel - Gabriel.xlsx]C̳álculos!tbl_dn_plan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C̳álculos!$A$23:$A$26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C̳álculos!$B$23:$B$26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5-44CF-A6B1-32044C031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118479"/>
        <c:axId val="1040118959"/>
      </c:barChart>
      <c:catAx>
        <c:axId val="104011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118959"/>
        <c:crosses val="autoZero"/>
        <c:auto val="1"/>
        <c:lblAlgn val="ctr"/>
        <c:lblOffset val="100"/>
        <c:noMultiLvlLbl val="0"/>
      </c:catAx>
      <c:valAx>
        <c:axId val="104011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11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7.png"/><Relationship Id="rId7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25</xdr:row>
      <xdr:rowOff>0</xdr:rowOff>
    </xdr:from>
    <xdr:to>
      <xdr:col>11</xdr:col>
      <xdr:colOff>304800</xdr:colOff>
      <xdr:row>26</xdr:row>
      <xdr:rowOff>106680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304800</xdr:colOff>
      <xdr:row>26</xdr:row>
      <xdr:rowOff>106680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457794</xdr:colOff>
      <xdr:row>1</xdr:row>
      <xdr:rowOff>145731</xdr:rowOff>
    </xdr:from>
    <xdr:to>
      <xdr:col>0</xdr:col>
      <xdr:colOff>1338083</xdr:colOff>
      <xdr:row>3</xdr:row>
      <xdr:rowOff>276224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51754E-8951-4244-A91C-DAC1242432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358" b="-4620"/>
        <a:stretch>
          <a:fillRect/>
        </a:stretch>
      </xdr:blipFill>
      <xdr:spPr>
        <a:xfrm>
          <a:off x="457794" y="326706"/>
          <a:ext cx="880289" cy="797243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12</xdr:row>
      <xdr:rowOff>0</xdr:rowOff>
    </xdr:from>
    <xdr:to>
      <xdr:col>16</xdr:col>
      <xdr:colOff>114300</xdr:colOff>
      <xdr:row>32</xdr:row>
      <xdr:rowOff>57150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8C9D7233-387C-B400-437D-FA45C98167DB}"/>
            </a:ext>
          </a:extLst>
        </xdr:cNvPr>
        <xdr:cNvGrpSpPr/>
      </xdr:nvGrpSpPr>
      <xdr:grpSpPr>
        <a:xfrm>
          <a:off x="2085975" y="2752725"/>
          <a:ext cx="8496300" cy="3676650"/>
          <a:chOff x="2020049" y="3143250"/>
          <a:chExt cx="8372475" cy="3352643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D4637A9E-3F12-7B1B-08AC-8D41CB23B195}"/>
              </a:ext>
            </a:extLst>
          </xdr:cNvPr>
          <xdr:cNvSpPr/>
        </xdr:nvSpPr>
        <xdr:spPr>
          <a:xfrm>
            <a:off x="2020049" y="3152618"/>
            <a:ext cx="8372475" cy="3343275"/>
          </a:xfrm>
          <a:prstGeom prst="roundRect">
            <a:avLst>
              <a:gd name="adj" fmla="val 812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FC1D1A42-7FD4-492C-9ABC-BB90C957ED10}"/>
              </a:ext>
            </a:extLst>
          </xdr:cNvPr>
          <xdr:cNvGraphicFramePr>
            <a:graphicFrameLocks/>
          </xdr:cNvGraphicFramePr>
        </xdr:nvGraphicFramePr>
        <xdr:xfrm>
          <a:off x="2085976" y="3143250"/>
          <a:ext cx="8248650" cy="3314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0</xdr:colOff>
      <xdr:row>10</xdr:row>
      <xdr:rowOff>98925</xdr:rowOff>
    </xdr:from>
    <xdr:to>
      <xdr:col>0</xdr:col>
      <xdr:colOff>1836000</xdr:colOff>
      <xdr:row>22</xdr:row>
      <xdr:rowOff>87225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5E51C23-8022-4977-97DC-CDFFF16007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89700"/>
              <a:ext cx="1836000" cy="21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190500</xdr:colOff>
      <xdr:row>3</xdr:row>
      <xdr:rowOff>106115</xdr:rowOff>
    </xdr:from>
    <xdr:to>
      <xdr:col>8</xdr:col>
      <xdr:colOff>485775</xdr:colOff>
      <xdr:row>11</xdr:row>
      <xdr:rowOff>91827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8170D712-D27F-B84F-3D5B-BC52526AAD9D}"/>
            </a:ext>
          </a:extLst>
        </xdr:cNvPr>
        <xdr:cNvGrpSpPr/>
      </xdr:nvGrpSpPr>
      <xdr:grpSpPr>
        <a:xfrm>
          <a:off x="2038350" y="953840"/>
          <a:ext cx="4200525" cy="1709737"/>
          <a:chOff x="2019300" y="785813"/>
          <a:chExt cx="4200525" cy="1709737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5F35DC53-D74C-CF33-CDF3-A1FDADC223D2}"/>
              </a:ext>
            </a:extLst>
          </xdr:cNvPr>
          <xdr:cNvGrpSpPr/>
        </xdr:nvGrpSpPr>
        <xdr:grpSpPr>
          <a:xfrm>
            <a:off x="2019300" y="785813"/>
            <a:ext cx="4181475" cy="1709737"/>
            <a:chOff x="2019300" y="785813"/>
            <a:chExt cx="4181475" cy="1709737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950F918E-05EC-4881-6395-605D155A77F8}"/>
                </a:ext>
              </a:extLst>
            </xdr:cNvPr>
            <xdr:cNvSpPr/>
          </xdr:nvSpPr>
          <xdr:spPr>
            <a:xfrm>
              <a:off x="2019300" y="785813"/>
              <a:ext cx="4181475" cy="164782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400"/>
                <a:t> R$ 1.140,00 </a:t>
              </a:r>
            </a:p>
          </xdr:txBody>
        </xdr:sp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68D11688-3B64-46F7-B839-AB2A2259380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152649" y="1144190"/>
              <a:ext cx="1413187" cy="1351360"/>
            </a:xfrm>
            <a:prstGeom prst="rect">
              <a:avLst/>
            </a:prstGeom>
            <a:ln>
              <a:noFill/>
            </a:ln>
          </xdr:spPr>
        </xdr:pic>
        <xdr:sp macro="" textlink="C̳álculos!C36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09D14FBC-CAC1-4BF2-AF3A-5805B9CC4C64}"/>
                </a:ext>
              </a:extLst>
            </xdr:cNvPr>
            <xdr:cNvSpPr/>
          </xdr:nvSpPr>
          <xdr:spPr>
            <a:xfrm>
              <a:off x="3505199" y="1298941"/>
              <a:ext cx="2400301" cy="1053734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F58A68F-CAA9-4A3A-A286-CB2612559DDA}" type="TxLink">
                <a:rPr lang="en-US" sz="3000" b="1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R$ 600,00 </a:t>
              </a:fld>
              <a:endParaRPr lang="pt-BR" sz="3000" b="1">
                <a:solidFill>
                  <a:srgbClr val="22C55E"/>
                </a:solidFill>
              </a:endParaRPr>
            </a:p>
          </xdr:txBody>
        </xdr:sp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56F27132-A757-EC43-BC7E-02FAE239E092}"/>
              </a:ext>
            </a:extLst>
          </xdr:cNvPr>
          <xdr:cNvSpPr/>
        </xdr:nvSpPr>
        <xdr:spPr>
          <a:xfrm>
            <a:off x="2019300" y="785813"/>
            <a:ext cx="4200525" cy="50482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/>
              <a:t>TOTAL DE VENDAS COM EA PLAY SEASON PASS</a:t>
            </a:r>
          </a:p>
        </xdr:txBody>
      </xdr:sp>
    </xdr:grpSp>
    <xdr:clientData/>
  </xdr:twoCellAnchor>
  <xdr:twoCellAnchor>
    <xdr:from>
      <xdr:col>9</xdr:col>
      <xdr:colOff>0</xdr:colOff>
      <xdr:row>3</xdr:row>
      <xdr:rowOff>137071</xdr:rowOff>
    </xdr:from>
    <xdr:to>
      <xdr:col>16</xdr:col>
      <xdr:colOff>95250</xdr:colOff>
      <xdr:row>11</xdr:row>
      <xdr:rowOff>60871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EAC700AA-B381-6A04-4FEC-0FE058694BA3}"/>
            </a:ext>
          </a:extLst>
        </xdr:cNvPr>
        <xdr:cNvGrpSpPr/>
      </xdr:nvGrpSpPr>
      <xdr:grpSpPr>
        <a:xfrm>
          <a:off x="6362700" y="984796"/>
          <a:ext cx="4200525" cy="1647825"/>
          <a:chOff x="6410325" y="816770"/>
          <a:chExt cx="4200525" cy="1647825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72CE5A18-1E99-47C1-A448-F90417DFE5BB}"/>
              </a:ext>
            </a:extLst>
          </xdr:cNvPr>
          <xdr:cNvGrpSpPr/>
        </xdr:nvGrpSpPr>
        <xdr:grpSpPr>
          <a:xfrm>
            <a:off x="6410325" y="816770"/>
            <a:ext cx="4200525" cy="1647825"/>
            <a:chOff x="2019300" y="785813"/>
            <a:chExt cx="4200525" cy="1647825"/>
          </a:xfrm>
        </xdr:grpSpPr>
        <xdr:grpSp>
          <xdr:nvGrpSpPr>
            <xdr:cNvPr id="33" name="Agrupar 32">
              <a:extLst>
                <a:ext uri="{FF2B5EF4-FFF2-40B4-BE49-F238E27FC236}">
                  <a16:creationId xmlns:a16="http://schemas.microsoft.com/office/drawing/2014/main" id="{8F1EFA98-8127-939F-075D-91E57EA2788E}"/>
                </a:ext>
              </a:extLst>
            </xdr:cNvPr>
            <xdr:cNvGrpSpPr/>
          </xdr:nvGrpSpPr>
          <xdr:grpSpPr>
            <a:xfrm>
              <a:off x="2019300" y="785813"/>
              <a:ext cx="4181475" cy="1647825"/>
              <a:chOff x="2019300" y="785813"/>
              <a:chExt cx="4181475" cy="1647825"/>
            </a:xfrm>
          </xdr:grpSpPr>
          <xdr:sp macro="" textlink="">
            <xdr:nvSpPr>
              <xdr:cNvPr id="35" name="Retângulo: Cantos Arredondados 34">
                <a:extLst>
                  <a:ext uri="{FF2B5EF4-FFF2-40B4-BE49-F238E27FC236}">
                    <a16:creationId xmlns:a16="http://schemas.microsoft.com/office/drawing/2014/main" id="{9A8A9A74-14D8-8C32-E375-E1735D258AAA}"/>
                  </a:ext>
                </a:extLst>
              </xdr:cNvPr>
              <xdr:cNvSpPr/>
            </xdr:nvSpPr>
            <xdr:spPr>
              <a:xfrm>
                <a:off x="2019300" y="785813"/>
                <a:ext cx="4181475" cy="1647825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US" sz="1400"/>
                  <a:t> R$ 1.140,00 </a:t>
                </a:r>
              </a:p>
            </xdr:txBody>
          </xdr:sp>
          <xdr:sp macro="" textlink="C̳álculos!C46">
            <xdr:nvSpPr>
              <xdr:cNvPr id="37" name="Retângulo: Cantos Arredondados 36">
                <a:extLst>
                  <a:ext uri="{FF2B5EF4-FFF2-40B4-BE49-F238E27FC236}">
                    <a16:creationId xmlns:a16="http://schemas.microsoft.com/office/drawing/2014/main" id="{7E14D328-81D2-DC50-E7F2-62434CF96BFA}"/>
                  </a:ext>
                </a:extLst>
              </xdr:cNvPr>
              <xdr:cNvSpPr/>
            </xdr:nvSpPr>
            <xdr:spPr>
              <a:xfrm>
                <a:off x="3619499" y="1279891"/>
                <a:ext cx="2400301" cy="1053734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09F9E3CA-1C2B-4A21-9AAD-056AF7F4D404}" type="TxLink">
                  <a:rPr lang="en-US" sz="3000" b="1" i="0" u="none" strike="noStrike">
                    <a:solidFill>
                      <a:srgbClr val="22C55E"/>
                    </a:solidFill>
                    <a:latin typeface="Aptos Narrow"/>
                  </a:rPr>
                  <a:pPr algn="ctr"/>
                  <a:t> R$ 940,00 </a:t>
                </a:fld>
                <a:endParaRPr lang="pt-BR" sz="3000" b="1">
                  <a:solidFill>
                    <a:srgbClr val="22C55E"/>
                  </a:solidFill>
                </a:endParaRPr>
              </a:p>
            </xdr:txBody>
          </xdr:sp>
        </xdr:grpSp>
        <xdr:sp macro="" textlink="">
          <xdr:nvSpPr>
            <xdr:cNvPr id="34" name="Retângulo: Cantos Superiores Arredondados 33">
              <a:extLst>
                <a:ext uri="{FF2B5EF4-FFF2-40B4-BE49-F238E27FC236}">
                  <a16:creationId xmlns:a16="http://schemas.microsoft.com/office/drawing/2014/main" id="{6FEADC60-A658-9F25-6265-6C2FED6B27D5}"/>
                </a:ext>
              </a:extLst>
            </xdr:cNvPr>
            <xdr:cNvSpPr/>
          </xdr:nvSpPr>
          <xdr:spPr>
            <a:xfrm>
              <a:off x="2019300" y="785813"/>
              <a:ext cx="4200525" cy="504825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400"/>
                <a:t>TOTAL DE VENDAS COM EA MINECRAFT SEASON PASS</a:t>
              </a:r>
            </a:p>
          </xdr:txBody>
        </xdr:sp>
      </xdr:grpSp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F94A88B9-7478-4B51-964C-90827A740CBD}"/>
              </a:ext>
            </a:extLst>
          </xdr:cNvPr>
          <xdr:cNvGrpSpPr/>
        </xdr:nvGrpSpPr>
        <xdr:grpSpPr>
          <a:xfrm>
            <a:off x="6553200" y="1435895"/>
            <a:ext cx="1495425" cy="783430"/>
            <a:chOff x="3495675" y="5400674"/>
            <a:chExt cx="1549476" cy="752476"/>
          </a:xfrm>
        </xdr:grpSpPr>
        <xdr:pic>
          <xdr:nvPicPr>
            <xdr:cNvPr id="39" name="Imagem 38">
              <a:extLst>
                <a:ext uri="{FF2B5EF4-FFF2-40B4-BE49-F238E27FC236}">
                  <a16:creationId xmlns:a16="http://schemas.microsoft.com/office/drawing/2014/main" id="{E6CFD9A1-5B59-DCE7-AB0D-2CE4F93364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0" name="Gráfico 39">
              <a:extLst>
                <a:ext uri="{FF2B5EF4-FFF2-40B4-BE49-F238E27FC236}">
                  <a16:creationId xmlns:a16="http://schemas.microsoft.com/office/drawing/2014/main" id="{45251424-34E1-A754-D293-D5432F82C0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304798</xdr:colOff>
      <xdr:row>3</xdr:row>
      <xdr:rowOff>104775</xdr:rowOff>
    </xdr:from>
    <xdr:to>
      <xdr:col>23</xdr:col>
      <xdr:colOff>0</xdr:colOff>
      <xdr:row>11</xdr:row>
      <xdr:rowOff>43161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34B1927D-8937-6333-5E05-338908A62FC1}"/>
            </a:ext>
          </a:extLst>
        </xdr:cNvPr>
        <xdr:cNvGrpSpPr/>
      </xdr:nvGrpSpPr>
      <xdr:grpSpPr>
        <a:xfrm>
          <a:off x="10772773" y="952500"/>
          <a:ext cx="3962402" cy="1662411"/>
          <a:chOff x="11077574" y="800100"/>
          <a:chExt cx="3962402" cy="1662411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94203438-4BDB-515A-4C67-C1DB733E4B7E}"/>
              </a:ext>
            </a:extLst>
          </xdr:cNvPr>
          <xdr:cNvSpPr/>
        </xdr:nvSpPr>
        <xdr:spPr>
          <a:xfrm>
            <a:off x="11077576" y="814686"/>
            <a:ext cx="3962400" cy="1647825"/>
          </a:xfrm>
          <a:prstGeom prst="roundRect">
            <a:avLst>
              <a:gd name="adj" fmla="val 2591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/>
              <a:t> R$ 1.140,00 </a:t>
            </a:r>
          </a:p>
        </xdr:txBody>
      </xdr:sp>
      <xdr:sp macro="" textlink="C̳álculos!C53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652CE943-7864-4099-67FF-5466BA85BFD4}"/>
              </a:ext>
            </a:extLst>
          </xdr:cNvPr>
          <xdr:cNvSpPr/>
        </xdr:nvSpPr>
        <xdr:spPr>
          <a:xfrm>
            <a:off x="12230101" y="1762125"/>
            <a:ext cx="1790701" cy="5619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9F5B9CF-CD29-4427-AE9B-62AFD0FDD0FF}" type="TxLink">
              <a:rPr lang="en-US" sz="3000" b="1" i="0" u="none" strike="noStrike">
                <a:solidFill>
                  <a:srgbClr val="22C55E"/>
                </a:solidFill>
                <a:latin typeface="Aptos Narrow"/>
              </a:rPr>
              <a:pPr algn="ctr"/>
              <a:t>33,22%</a:t>
            </a:fld>
            <a:endParaRPr lang="pt-BR" sz="3000" b="1">
              <a:solidFill>
                <a:srgbClr val="22C55E"/>
              </a:solidFill>
            </a:endParaRPr>
          </a:p>
        </xdr:txBody>
      </xdr: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969E7E50-7C73-3992-4540-88F61126BC64}"/>
              </a:ext>
            </a:extLst>
          </xdr:cNvPr>
          <xdr:cNvSpPr/>
        </xdr:nvSpPr>
        <xdr:spPr>
          <a:xfrm>
            <a:off x="11077574" y="800100"/>
            <a:ext cx="3962401" cy="81915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/>
              <a:t>% DE ASSINANTES DO</a:t>
            </a:r>
            <a:r>
              <a:rPr lang="pt-BR" sz="1600" baseline="0"/>
              <a:t> PLANO</a:t>
            </a:r>
            <a:r>
              <a:rPr lang="pt-BR" sz="1600"/>
              <a:t> EA SEASON PASSE EA MINECRAFT SEASON PASS</a:t>
            </a:r>
          </a:p>
        </xdr:txBody>
      </xdr:sp>
    </xdr:grpSp>
    <xdr:clientData/>
  </xdr:twoCellAnchor>
  <xdr:twoCellAnchor>
    <xdr:from>
      <xdr:col>16</xdr:col>
      <xdr:colOff>285750</xdr:colOff>
      <xdr:row>12</xdr:row>
      <xdr:rowOff>0</xdr:rowOff>
    </xdr:from>
    <xdr:to>
      <xdr:col>28</xdr:col>
      <xdr:colOff>0</xdr:colOff>
      <xdr:row>32</xdr:row>
      <xdr:rowOff>0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78EEA467-1353-A094-371C-489CBF3A4466}"/>
            </a:ext>
          </a:extLst>
        </xdr:cNvPr>
        <xdr:cNvGrpSpPr/>
      </xdr:nvGrpSpPr>
      <xdr:grpSpPr>
        <a:xfrm>
          <a:off x="10753725" y="2752725"/>
          <a:ext cx="7029450" cy="3619500"/>
          <a:chOff x="10753725" y="2638425"/>
          <a:chExt cx="7029450" cy="3619500"/>
        </a:xfrm>
      </xdr:grpSpPr>
      <xdr:sp macro="" textlink="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4D04FDB1-F3F2-5795-5E69-8244AF74FA92}"/>
              </a:ext>
            </a:extLst>
          </xdr:cNvPr>
          <xdr:cNvSpPr/>
        </xdr:nvSpPr>
        <xdr:spPr>
          <a:xfrm>
            <a:off x="10753725" y="2638425"/>
            <a:ext cx="7029450" cy="3619500"/>
          </a:xfrm>
          <a:prstGeom prst="roundRect">
            <a:avLst>
              <a:gd name="adj" fmla="val 5878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2" name="Gráfico 41">
            <a:extLst>
              <a:ext uri="{FF2B5EF4-FFF2-40B4-BE49-F238E27FC236}">
                <a16:creationId xmlns:a16="http://schemas.microsoft.com/office/drawing/2014/main" id="{FA249EDD-EBD9-42AF-871B-C859EE3FB415}"/>
              </a:ext>
            </a:extLst>
          </xdr:cNvPr>
          <xdr:cNvGraphicFramePr>
            <a:graphicFrameLocks/>
          </xdr:cNvGraphicFramePr>
        </xdr:nvGraphicFramePr>
        <xdr:xfrm>
          <a:off x="11220450" y="2847975"/>
          <a:ext cx="6096000" cy="3171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23</xdr:col>
      <xdr:colOff>66675</xdr:colOff>
      <xdr:row>3</xdr:row>
      <xdr:rowOff>99714</xdr:rowOff>
    </xdr:from>
    <xdr:to>
      <xdr:col>28</xdr:col>
      <xdr:colOff>66676</xdr:colOff>
      <xdr:row>11</xdr:row>
      <xdr:rowOff>38100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8F0A1D2D-4B31-4027-990B-7131A5D1C004}"/>
            </a:ext>
          </a:extLst>
        </xdr:cNvPr>
        <xdr:cNvGrpSpPr/>
      </xdr:nvGrpSpPr>
      <xdr:grpSpPr>
        <a:xfrm>
          <a:off x="14801850" y="947439"/>
          <a:ext cx="3048001" cy="1662411"/>
          <a:chOff x="11077573" y="800100"/>
          <a:chExt cx="3962403" cy="1662411"/>
        </a:xfrm>
      </xdr:grpSpPr>
      <xdr:sp macro="" textlink="">
        <xdr:nvSpPr>
          <xdr:cNvPr id="50" name="Retângulo: Cantos Arredondados 49">
            <a:extLst>
              <a:ext uri="{FF2B5EF4-FFF2-40B4-BE49-F238E27FC236}">
                <a16:creationId xmlns:a16="http://schemas.microsoft.com/office/drawing/2014/main" id="{38836471-CFBA-BC1A-16FC-91C4CD0A9D6B}"/>
              </a:ext>
            </a:extLst>
          </xdr:cNvPr>
          <xdr:cNvSpPr/>
        </xdr:nvSpPr>
        <xdr:spPr>
          <a:xfrm>
            <a:off x="11077577" y="814686"/>
            <a:ext cx="3962399" cy="1647825"/>
          </a:xfrm>
          <a:prstGeom prst="roundRect">
            <a:avLst>
              <a:gd name="adj" fmla="val 2591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/>
              <a:t> R$ 1.140,00 </a:t>
            </a:r>
          </a:p>
        </xdr:txBody>
      </xdr:sp>
      <xdr:sp macro="" textlink="C̳álculos!C16">
        <xdr:nvSpPr>
          <xdr:cNvPr id="51" name="Retângulo: Cantos Arredondados 50">
            <a:extLst>
              <a:ext uri="{FF2B5EF4-FFF2-40B4-BE49-F238E27FC236}">
                <a16:creationId xmlns:a16="http://schemas.microsoft.com/office/drawing/2014/main" id="{9774CA9E-BA0E-4A43-393C-CCE20CEAE666}"/>
              </a:ext>
            </a:extLst>
          </xdr:cNvPr>
          <xdr:cNvSpPr/>
        </xdr:nvSpPr>
        <xdr:spPr>
          <a:xfrm>
            <a:off x="11671936" y="1681461"/>
            <a:ext cx="2773681" cy="5619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05972BA-C10E-495A-916A-ACE4124CDBD8}" type="TxLink">
              <a:rPr lang="en-US" sz="24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R$ 7.633,00 </a:t>
            </a:fld>
            <a:endParaRPr lang="pt-BR" sz="2400" b="1">
              <a:solidFill>
                <a:srgbClr val="22C55E"/>
              </a:solidFill>
            </a:endParaRPr>
          </a:p>
        </xdr:txBody>
      </xdr:sp>
      <xdr:sp macro="" textlink="">
        <xdr:nvSpPr>
          <xdr:cNvPr id="52" name="Retângulo: Cantos Superiores Arredondados 51">
            <a:extLst>
              <a:ext uri="{FF2B5EF4-FFF2-40B4-BE49-F238E27FC236}">
                <a16:creationId xmlns:a16="http://schemas.microsoft.com/office/drawing/2014/main" id="{3807F531-47A6-60CA-F919-BA3D07AEA0AE}"/>
              </a:ext>
            </a:extLst>
          </xdr:cNvPr>
          <xdr:cNvSpPr/>
        </xdr:nvSpPr>
        <xdr:spPr>
          <a:xfrm>
            <a:off x="11077573" y="800100"/>
            <a:ext cx="3962400" cy="81915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/>
              <a:t>VALOR TOTAL DAS ASSSINATURAS</a:t>
            </a:r>
          </a:p>
          <a:p>
            <a:pPr algn="ctr"/>
            <a:endParaRPr lang="pt-BR" sz="1600"/>
          </a:p>
        </xdr:txBody>
      </xdr:sp>
    </xdr:grpSp>
    <xdr:clientData/>
  </xdr:twoCellAnchor>
  <xdr:twoCellAnchor editAs="oneCell">
    <xdr:from>
      <xdr:col>0</xdr:col>
      <xdr:colOff>0</xdr:colOff>
      <xdr:row>23</xdr:row>
      <xdr:rowOff>76200</xdr:rowOff>
    </xdr:from>
    <xdr:to>
      <xdr:col>0</xdr:col>
      <xdr:colOff>1828800</xdr:colOff>
      <xdr:row>30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Auto Renewal">
              <a:extLst>
                <a:ext uri="{FF2B5EF4-FFF2-40B4-BE49-F238E27FC236}">
                  <a16:creationId xmlns:a16="http://schemas.microsoft.com/office/drawing/2014/main" id="{04B4150A-DC2C-4341-864C-4CBE8BEF9C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648200"/>
              <a:ext cx="1828800" cy="1266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564563</xdr:colOff>
      <xdr:row>4</xdr:row>
      <xdr:rowOff>14287</xdr:rowOff>
    </xdr:from>
    <xdr:to>
      <xdr:col>0</xdr:col>
      <xdr:colOff>1231313</xdr:colOff>
      <xdr:row>8</xdr:row>
      <xdr:rowOff>161925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0F3EFEDD-2916-4276-A075-C4815CC74A0E}"/>
            </a:ext>
          </a:extLst>
        </xdr:cNvPr>
        <xdr:cNvSpPr/>
      </xdr:nvSpPr>
      <xdr:spPr>
        <a:xfrm>
          <a:off x="564563" y="1357312"/>
          <a:ext cx="666750" cy="595313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8</xdr:row>
      <xdr:rowOff>238125</xdr:rowOff>
    </xdr:from>
    <xdr:to>
      <xdr:col>0</xdr:col>
      <xdr:colOff>1836000</xdr:colOff>
      <xdr:row>9</xdr:row>
      <xdr:rowOff>142875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F766628-E0DD-F646-DFDF-98273B29C3AC}"/>
            </a:ext>
          </a:extLst>
        </xdr:cNvPr>
        <xdr:cNvSpPr/>
      </xdr:nvSpPr>
      <xdr:spPr>
        <a:xfrm>
          <a:off x="0" y="2028825"/>
          <a:ext cx="1836000" cy="323850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USER 01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 1" refreshedDate="46037.664613773151" createdVersion="8" refreshedVersion="8" minRefreshableVersion="3" recordCount="295" xr:uid="{38B4005A-7A37-4457-9EB5-90B64ACF0695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3014442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x v="0"/>
    <x v="0"/>
    <n v="15"/>
    <x v="0"/>
    <x v="0"/>
    <n v="30"/>
    <x v="0"/>
    <n v="20"/>
    <n v="5"/>
    <n v="60"/>
  </r>
  <r>
    <x v="1"/>
    <s v="Maria Oliveira"/>
    <x v="1"/>
    <x v="1"/>
    <x v="1"/>
    <n v="5"/>
    <x v="1"/>
    <x v="1"/>
    <s v="-"/>
    <x v="1"/>
    <n v="0"/>
    <n v="0"/>
    <n v="5"/>
  </r>
  <r>
    <x v="2"/>
    <s v="Lucas Fernandes"/>
    <x v="2"/>
    <x v="2"/>
    <x v="0"/>
    <n v="10"/>
    <x v="2"/>
    <x v="1"/>
    <s v="-"/>
    <x v="0"/>
    <n v="20"/>
    <n v="10"/>
    <n v="20"/>
  </r>
  <r>
    <x v="3"/>
    <s v="Ana Souza"/>
    <x v="0"/>
    <x v="3"/>
    <x v="1"/>
    <n v="15"/>
    <x v="0"/>
    <x v="0"/>
    <n v="30"/>
    <x v="0"/>
    <n v="20"/>
    <n v="3"/>
    <n v="62"/>
  </r>
  <r>
    <x v="4"/>
    <s v="Pedro Gonçalves"/>
    <x v="1"/>
    <x v="4"/>
    <x v="0"/>
    <n v="5"/>
    <x v="0"/>
    <x v="1"/>
    <s v="-"/>
    <x v="1"/>
    <n v="0"/>
    <n v="1"/>
    <n v="4"/>
  </r>
  <r>
    <x v="5"/>
    <s v="Felipe Costa"/>
    <x v="2"/>
    <x v="5"/>
    <x v="1"/>
    <n v="10"/>
    <x v="0"/>
    <x v="1"/>
    <s v="-"/>
    <x v="0"/>
    <n v="20"/>
    <n v="2"/>
    <n v="28"/>
  </r>
  <r>
    <x v="6"/>
    <s v="Camila Ribeiro"/>
    <x v="0"/>
    <x v="6"/>
    <x v="0"/>
    <n v="15"/>
    <x v="2"/>
    <x v="0"/>
    <n v="30"/>
    <x v="0"/>
    <n v="20"/>
    <n v="10"/>
    <n v="55"/>
  </r>
  <r>
    <x v="7"/>
    <s v="André Mendes"/>
    <x v="1"/>
    <x v="7"/>
    <x v="0"/>
    <n v="5"/>
    <x v="1"/>
    <x v="1"/>
    <s v="-"/>
    <x v="1"/>
    <n v="0"/>
    <n v="0"/>
    <n v="5"/>
  </r>
  <r>
    <x v="8"/>
    <s v="Sofia Almeida"/>
    <x v="0"/>
    <x v="4"/>
    <x v="1"/>
    <n v="15"/>
    <x v="0"/>
    <x v="0"/>
    <n v="30"/>
    <x v="0"/>
    <n v="20"/>
    <n v="5"/>
    <n v="60"/>
  </r>
  <r>
    <x v="9"/>
    <s v="Bruno Martins"/>
    <x v="2"/>
    <x v="8"/>
    <x v="0"/>
    <n v="10"/>
    <x v="2"/>
    <x v="1"/>
    <s v="-"/>
    <x v="0"/>
    <n v="20"/>
    <n v="15"/>
    <n v="15"/>
  </r>
  <r>
    <x v="10"/>
    <s v="Rita Castro"/>
    <x v="1"/>
    <x v="9"/>
    <x v="1"/>
    <n v="5"/>
    <x v="0"/>
    <x v="1"/>
    <s v="-"/>
    <x v="1"/>
    <n v="0"/>
    <n v="1"/>
    <n v="4"/>
  </r>
  <r>
    <x v="11"/>
    <s v="Marco Túlio"/>
    <x v="0"/>
    <x v="10"/>
    <x v="0"/>
    <n v="15"/>
    <x v="1"/>
    <x v="0"/>
    <n v="30"/>
    <x v="0"/>
    <n v="20"/>
    <n v="20"/>
    <n v="45"/>
  </r>
  <r>
    <x v="12"/>
    <s v="Lívia Silveira"/>
    <x v="2"/>
    <x v="11"/>
    <x v="1"/>
    <n v="10"/>
    <x v="0"/>
    <x v="1"/>
    <s v="-"/>
    <x v="0"/>
    <n v="20"/>
    <n v="10"/>
    <n v="20"/>
  </r>
  <r>
    <x v="13"/>
    <s v="Diogo Sousa"/>
    <x v="1"/>
    <x v="12"/>
    <x v="0"/>
    <n v="5"/>
    <x v="2"/>
    <x v="1"/>
    <s v="-"/>
    <x v="1"/>
    <n v="0"/>
    <n v="0"/>
    <n v="5"/>
  </r>
  <r>
    <x v="14"/>
    <s v="Fernanda Lima"/>
    <x v="0"/>
    <x v="13"/>
    <x v="1"/>
    <n v="15"/>
    <x v="0"/>
    <x v="0"/>
    <n v="30"/>
    <x v="0"/>
    <n v="20"/>
    <n v="8"/>
    <n v="57"/>
  </r>
  <r>
    <x v="15"/>
    <s v="Caio Pereira"/>
    <x v="2"/>
    <x v="14"/>
    <x v="0"/>
    <n v="10"/>
    <x v="1"/>
    <x v="1"/>
    <s v="-"/>
    <x v="0"/>
    <n v="20"/>
    <n v="12"/>
    <n v="18"/>
  </r>
  <r>
    <x v="16"/>
    <s v="Beatriz Gomes"/>
    <x v="1"/>
    <x v="15"/>
    <x v="1"/>
    <n v="5"/>
    <x v="0"/>
    <x v="1"/>
    <s v="-"/>
    <x v="1"/>
    <n v="0"/>
    <n v="2"/>
    <n v="3"/>
  </r>
  <r>
    <x v="17"/>
    <s v="Cesar Oliveira"/>
    <x v="0"/>
    <x v="16"/>
    <x v="0"/>
    <n v="15"/>
    <x v="2"/>
    <x v="0"/>
    <n v="30"/>
    <x v="0"/>
    <n v="20"/>
    <n v="7"/>
    <n v="58"/>
  </r>
  <r>
    <x v="18"/>
    <s v="Débora Machado"/>
    <x v="2"/>
    <x v="17"/>
    <x v="1"/>
    <n v="10"/>
    <x v="0"/>
    <x v="1"/>
    <s v="-"/>
    <x v="0"/>
    <n v="20"/>
    <n v="5"/>
    <n v="25"/>
  </r>
  <r>
    <x v="19"/>
    <s v="Eduardo Vargas"/>
    <x v="1"/>
    <x v="18"/>
    <x v="0"/>
    <n v="5"/>
    <x v="1"/>
    <x v="1"/>
    <s v="-"/>
    <x v="1"/>
    <n v="0"/>
    <n v="0"/>
    <n v="5"/>
  </r>
  <r>
    <x v="20"/>
    <s v="Gabriela Santos"/>
    <x v="0"/>
    <x v="19"/>
    <x v="1"/>
    <n v="15"/>
    <x v="0"/>
    <x v="0"/>
    <n v="30"/>
    <x v="0"/>
    <n v="20"/>
    <n v="3"/>
    <n v="62"/>
  </r>
  <r>
    <x v="21"/>
    <s v="Henrique Dias"/>
    <x v="2"/>
    <x v="20"/>
    <x v="0"/>
    <n v="10"/>
    <x v="2"/>
    <x v="1"/>
    <s v="-"/>
    <x v="0"/>
    <n v="20"/>
    <n v="15"/>
    <n v="15"/>
  </r>
  <r>
    <x v="22"/>
    <s v="Isabela Moreira"/>
    <x v="1"/>
    <x v="21"/>
    <x v="1"/>
    <n v="5"/>
    <x v="0"/>
    <x v="1"/>
    <s v="-"/>
    <x v="1"/>
    <n v="0"/>
    <n v="1"/>
    <n v="4"/>
  </r>
  <r>
    <x v="23"/>
    <s v="Joaquim Barbosa"/>
    <x v="0"/>
    <x v="22"/>
    <x v="0"/>
    <n v="15"/>
    <x v="1"/>
    <x v="0"/>
    <n v="30"/>
    <x v="0"/>
    <n v="20"/>
    <n v="20"/>
    <n v="45"/>
  </r>
  <r>
    <x v="24"/>
    <s v="Lara Rocha"/>
    <x v="2"/>
    <x v="23"/>
    <x v="1"/>
    <n v="10"/>
    <x v="0"/>
    <x v="1"/>
    <s v="-"/>
    <x v="0"/>
    <n v="20"/>
    <n v="10"/>
    <n v="20"/>
  </r>
  <r>
    <x v="25"/>
    <s v="Matheus Silva"/>
    <x v="1"/>
    <x v="24"/>
    <x v="0"/>
    <n v="5"/>
    <x v="2"/>
    <x v="1"/>
    <s v="-"/>
    <x v="1"/>
    <n v="0"/>
    <n v="0"/>
    <n v="5"/>
  </r>
  <r>
    <x v="26"/>
    <s v="Nicole Costa"/>
    <x v="0"/>
    <x v="25"/>
    <x v="1"/>
    <n v="15"/>
    <x v="0"/>
    <x v="0"/>
    <n v="30"/>
    <x v="0"/>
    <n v="20"/>
    <n v="5"/>
    <n v="60"/>
  </r>
  <r>
    <x v="27"/>
    <s v="Otávio Mendonça"/>
    <x v="2"/>
    <x v="26"/>
    <x v="0"/>
    <n v="10"/>
    <x v="1"/>
    <x v="1"/>
    <s v="-"/>
    <x v="0"/>
    <n v="20"/>
    <n v="15"/>
    <n v="15"/>
  </r>
  <r>
    <x v="28"/>
    <s v="Paula Ferreira"/>
    <x v="1"/>
    <x v="27"/>
    <x v="1"/>
    <n v="5"/>
    <x v="0"/>
    <x v="1"/>
    <s v="-"/>
    <x v="1"/>
    <n v="0"/>
    <n v="1"/>
    <n v="4"/>
  </r>
  <r>
    <x v="29"/>
    <s v="Raquel Alves"/>
    <x v="0"/>
    <x v="28"/>
    <x v="0"/>
    <n v="15"/>
    <x v="2"/>
    <x v="0"/>
    <n v="30"/>
    <x v="0"/>
    <n v="20"/>
    <n v="7"/>
    <n v="58"/>
  </r>
  <r>
    <x v="30"/>
    <s v="Samuel Pires"/>
    <x v="2"/>
    <x v="29"/>
    <x v="1"/>
    <n v="10"/>
    <x v="0"/>
    <x v="1"/>
    <s v="-"/>
    <x v="0"/>
    <n v="20"/>
    <n v="10"/>
    <n v="20"/>
  </r>
  <r>
    <x v="31"/>
    <s v="Tânia Barros"/>
    <x v="1"/>
    <x v="30"/>
    <x v="0"/>
    <n v="5"/>
    <x v="1"/>
    <x v="1"/>
    <s v="-"/>
    <x v="1"/>
    <n v="0"/>
    <n v="0"/>
    <n v="5"/>
  </r>
  <r>
    <x v="32"/>
    <s v="Vinicius Lima"/>
    <x v="0"/>
    <x v="31"/>
    <x v="1"/>
    <n v="15"/>
    <x v="0"/>
    <x v="0"/>
    <n v="30"/>
    <x v="0"/>
    <n v="20"/>
    <n v="3"/>
    <n v="62"/>
  </r>
  <r>
    <x v="33"/>
    <s v="Yasmin Teixeira"/>
    <x v="2"/>
    <x v="32"/>
    <x v="0"/>
    <n v="10"/>
    <x v="2"/>
    <x v="1"/>
    <s v="-"/>
    <x v="0"/>
    <n v="20"/>
    <n v="15"/>
    <n v="15"/>
  </r>
  <r>
    <x v="34"/>
    <s v="Zé Carlos"/>
    <x v="1"/>
    <x v="33"/>
    <x v="1"/>
    <n v="5"/>
    <x v="0"/>
    <x v="1"/>
    <s v="-"/>
    <x v="1"/>
    <n v="0"/>
    <n v="1"/>
    <n v="4"/>
  </r>
  <r>
    <x v="35"/>
    <s v="Amanda Nogueira"/>
    <x v="1"/>
    <x v="34"/>
    <x v="0"/>
    <n v="5"/>
    <x v="0"/>
    <x v="1"/>
    <s v="-"/>
    <x v="1"/>
    <n v="0"/>
    <n v="0"/>
    <n v="5"/>
  </r>
  <r>
    <x v="36"/>
    <s v="Bruno Cavalheiro"/>
    <x v="0"/>
    <x v="35"/>
    <x v="1"/>
    <n v="15"/>
    <x v="2"/>
    <x v="0"/>
    <n v="30"/>
    <x v="0"/>
    <n v="20"/>
    <n v="7"/>
    <n v="58"/>
  </r>
  <r>
    <x v="37"/>
    <s v="Carla Dias"/>
    <x v="2"/>
    <x v="36"/>
    <x v="0"/>
    <n v="10"/>
    <x v="1"/>
    <x v="1"/>
    <s v="-"/>
    <x v="0"/>
    <n v="20"/>
    <n v="10"/>
    <n v="20"/>
  </r>
  <r>
    <x v="38"/>
    <s v="Diego Fontes"/>
    <x v="1"/>
    <x v="37"/>
    <x v="1"/>
    <n v="5"/>
    <x v="2"/>
    <x v="1"/>
    <s v="-"/>
    <x v="1"/>
    <n v="0"/>
    <n v="1"/>
    <n v="4"/>
  </r>
  <r>
    <x v="39"/>
    <s v="Eunice Lima"/>
    <x v="0"/>
    <x v="38"/>
    <x v="0"/>
    <n v="15"/>
    <x v="0"/>
    <x v="0"/>
    <n v="30"/>
    <x v="0"/>
    <n v="20"/>
    <n v="15"/>
    <n v="50"/>
  </r>
  <r>
    <x v="40"/>
    <s v="Fábio Martins"/>
    <x v="2"/>
    <x v="39"/>
    <x v="1"/>
    <n v="10"/>
    <x v="0"/>
    <x v="1"/>
    <s v="-"/>
    <x v="0"/>
    <n v="20"/>
    <n v="5"/>
    <n v="25"/>
  </r>
  <r>
    <x v="41"/>
    <s v="Gisele Araújo"/>
    <x v="1"/>
    <x v="40"/>
    <x v="0"/>
    <n v="5"/>
    <x v="1"/>
    <x v="1"/>
    <s v="-"/>
    <x v="1"/>
    <n v="0"/>
    <n v="0"/>
    <n v="5"/>
  </r>
  <r>
    <x v="42"/>
    <s v="Hélio Castro"/>
    <x v="0"/>
    <x v="41"/>
    <x v="1"/>
    <n v="15"/>
    <x v="2"/>
    <x v="0"/>
    <n v="30"/>
    <x v="0"/>
    <n v="20"/>
    <n v="20"/>
    <n v="45"/>
  </r>
  <r>
    <x v="43"/>
    <s v="Ingrid Menezes"/>
    <x v="2"/>
    <x v="42"/>
    <x v="0"/>
    <n v="10"/>
    <x v="2"/>
    <x v="1"/>
    <s v="-"/>
    <x v="0"/>
    <n v="20"/>
    <n v="12"/>
    <n v="18"/>
  </r>
  <r>
    <x v="44"/>
    <s v="Jorge Baptista"/>
    <x v="1"/>
    <x v="43"/>
    <x v="1"/>
    <n v="5"/>
    <x v="0"/>
    <x v="1"/>
    <s v="-"/>
    <x v="1"/>
    <n v="0"/>
    <n v="2"/>
    <n v="3"/>
  </r>
  <r>
    <x v="45"/>
    <s v="Kléber Oliveira"/>
    <x v="0"/>
    <x v="44"/>
    <x v="0"/>
    <n v="15"/>
    <x v="1"/>
    <x v="0"/>
    <n v="30"/>
    <x v="0"/>
    <n v="20"/>
    <n v="5"/>
    <n v="60"/>
  </r>
  <r>
    <x v="46"/>
    <s v="Luciana Freitas"/>
    <x v="2"/>
    <x v="45"/>
    <x v="1"/>
    <n v="10"/>
    <x v="0"/>
    <x v="1"/>
    <s v="-"/>
    <x v="0"/>
    <n v="20"/>
    <n v="10"/>
    <n v="20"/>
  </r>
  <r>
    <x v="47"/>
    <s v="Márcia Eller"/>
    <x v="1"/>
    <x v="46"/>
    <x v="0"/>
    <n v="5"/>
    <x v="2"/>
    <x v="1"/>
    <s v="-"/>
    <x v="1"/>
    <n v="0"/>
    <n v="0"/>
    <n v="5"/>
  </r>
  <r>
    <x v="48"/>
    <s v="Nilo Peçanha"/>
    <x v="0"/>
    <x v="47"/>
    <x v="1"/>
    <n v="15"/>
    <x v="0"/>
    <x v="0"/>
    <n v="30"/>
    <x v="0"/>
    <n v="20"/>
    <n v="3"/>
    <n v="62"/>
  </r>
  <r>
    <x v="49"/>
    <s v="Oscar Neves"/>
    <x v="2"/>
    <x v="48"/>
    <x v="0"/>
    <n v="10"/>
    <x v="1"/>
    <x v="1"/>
    <s v="-"/>
    <x v="0"/>
    <n v="20"/>
    <n v="15"/>
    <n v="15"/>
  </r>
  <r>
    <x v="50"/>
    <s v="Patrícia Soares"/>
    <x v="1"/>
    <x v="49"/>
    <x v="1"/>
    <n v="5"/>
    <x v="0"/>
    <x v="1"/>
    <s v="-"/>
    <x v="1"/>
    <n v="0"/>
    <n v="1"/>
    <n v="4"/>
  </r>
  <r>
    <x v="51"/>
    <s v="Quirino Gonçalves"/>
    <x v="0"/>
    <x v="50"/>
    <x v="0"/>
    <n v="15"/>
    <x v="2"/>
    <x v="0"/>
    <n v="30"/>
    <x v="0"/>
    <n v="20"/>
    <n v="7"/>
    <n v="58"/>
  </r>
  <r>
    <x v="52"/>
    <s v="Raul Machado"/>
    <x v="2"/>
    <x v="51"/>
    <x v="1"/>
    <n v="10"/>
    <x v="0"/>
    <x v="1"/>
    <s v="-"/>
    <x v="0"/>
    <n v="20"/>
    <n v="10"/>
    <n v="20"/>
  </r>
  <r>
    <x v="53"/>
    <s v="Sônia Lobo"/>
    <x v="1"/>
    <x v="52"/>
    <x v="0"/>
    <n v="5"/>
    <x v="1"/>
    <x v="1"/>
    <s v="-"/>
    <x v="1"/>
    <n v="0"/>
    <n v="0"/>
    <n v="5"/>
  </r>
  <r>
    <x v="54"/>
    <s v="Tiago Ramos"/>
    <x v="0"/>
    <x v="53"/>
    <x v="1"/>
    <n v="15"/>
    <x v="0"/>
    <x v="0"/>
    <n v="30"/>
    <x v="0"/>
    <n v="20"/>
    <n v="20"/>
    <n v="45"/>
  </r>
  <r>
    <x v="55"/>
    <s v="Ugo Pires"/>
    <x v="2"/>
    <x v="54"/>
    <x v="0"/>
    <n v="10"/>
    <x v="2"/>
    <x v="1"/>
    <s v="-"/>
    <x v="0"/>
    <n v="20"/>
    <n v="15"/>
    <n v="15"/>
  </r>
  <r>
    <x v="56"/>
    <s v="Valéria Nobre"/>
    <x v="1"/>
    <x v="55"/>
    <x v="1"/>
    <n v="5"/>
    <x v="0"/>
    <x v="1"/>
    <s v="-"/>
    <x v="1"/>
    <n v="0"/>
    <n v="1"/>
    <n v="4"/>
  </r>
  <r>
    <x v="57"/>
    <s v="William Siqueira"/>
    <x v="0"/>
    <x v="56"/>
    <x v="0"/>
    <n v="15"/>
    <x v="1"/>
    <x v="0"/>
    <n v="30"/>
    <x v="0"/>
    <n v="20"/>
    <n v="3"/>
    <n v="62"/>
  </r>
  <r>
    <x v="58"/>
    <s v="Xuxa Meneghel"/>
    <x v="2"/>
    <x v="57"/>
    <x v="1"/>
    <n v="10"/>
    <x v="0"/>
    <x v="1"/>
    <s v="-"/>
    <x v="0"/>
    <n v="20"/>
    <n v="10"/>
    <n v="20"/>
  </r>
  <r>
    <x v="59"/>
    <s v="Yara Figueiredo"/>
    <x v="1"/>
    <x v="58"/>
    <x v="0"/>
    <n v="5"/>
    <x v="2"/>
    <x v="1"/>
    <s v="-"/>
    <x v="1"/>
    <n v="0"/>
    <n v="0"/>
    <n v="5"/>
  </r>
  <r>
    <x v="60"/>
    <s v="Zacarias Alves"/>
    <x v="0"/>
    <x v="59"/>
    <x v="1"/>
    <n v="15"/>
    <x v="0"/>
    <x v="0"/>
    <n v="30"/>
    <x v="0"/>
    <n v="20"/>
    <n v="5"/>
    <n v="60"/>
  </r>
  <r>
    <x v="61"/>
    <s v="Amanda Bynes"/>
    <x v="2"/>
    <x v="60"/>
    <x v="0"/>
    <n v="10"/>
    <x v="1"/>
    <x v="1"/>
    <s v="-"/>
    <x v="0"/>
    <n v="20"/>
    <n v="15"/>
    <n v="15"/>
  </r>
  <r>
    <x v="62"/>
    <s v="Bruno Mars"/>
    <x v="1"/>
    <x v="61"/>
    <x v="1"/>
    <n v="5"/>
    <x v="0"/>
    <x v="1"/>
    <s v="-"/>
    <x v="1"/>
    <n v="0"/>
    <n v="1"/>
    <n v="4"/>
  </r>
  <r>
    <x v="63"/>
    <s v="Carla Bruni"/>
    <x v="0"/>
    <x v="62"/>
    <x v="0"/>
    <n v="15"/>
    <x v="2"/>
    <x v="0"/>
    <n v="30"/>
    <x v="0"/>
    <n v="20"/>
    <n v="20"/>
    <n v="45"/>
  </r>
  <r>
    <x v="64"/>
    <s v="Diego Maradona"/>
    <x v="2"/>
    <x v="63"/>
    <x v="1"/>
    <n v="10"/>
    <x v="0"/>
    <x v="1"/>
    <s v="-"/>
    <x v="0"/>
    <n v="20"/>
    <n v="5"/>
    <n v="25"/>
  </r>
  <r>
    <x v="65"/>
    <s v="Estela Marques"/>
    <x v="1"/>
    <x v="64"/>
    <x v="1"/>
    <n v="5"/>
    <x v="0"/>
    <x v="1"/>
    <s v="-"/>
    <x v="1"/>
    <n v="0"/>
    <n v="0"/>
    <n v="5"/>
  </r>
  <r>
    <x v="66"/>
    <s v="Fábio Nobre"/>
    <x v="0"/>
    <x v="65"/>
    <x v="0"/>
    <n v="15"/>
    <x v="2"/>
    <x v="0"/>
    <n v="30"/>
    <x v="0"/>
    <n v="20"/>
    <n v="7"/>
    <n v="58"/>
  </r>
  <r>
    <x v="67"/>
    <s v="Gabriel Oliveira"/>
    <x v="2"/>
    <x v="66"/>
    <x v="1"/>
    <n v="10"/>
    <x v="1"/>
    <x v="1"/>
    <s v="-"/>
    <x v="0"/>
    <n v="20"/>
    <n v="10"/>
    <n v="20"/>
  </r>
  <r>
    <x v="68"/>
    <s v="Helena Santos"/>
    <x v="1"/>
    <x v="67"/>
    <x v="0"/>
    <n v="5"/>
    <x v="2"/>
    <x v="1"/>
    <s v="-"/>
    <x v="1"/>
    <n v="0"/>
    <n v="1"/>
    <n v="4"/>
  </r>
  <r>
    <x v="69"/>
    <s v="Ivan Carvalho"/>
    <x v="0"/>
    <x v="68"/>
    <x v="1"/>
    <n v="15"/>
    <x v="0"/>
    <x v="0"/>
    <n v="30"/>
    <x v="0"/>
    <n v="20"/>
    <n v="15"/>
    <n v="50"/>
  </r>
  <r>
    <x v="70"/>
    <s v="Júlia Ferreira"/>
    <x v="2"/>
    <x v="69"/>
    <x v="0"/>
    <n v="10"/>
    <x v="0"/>
    <x v="1"/>
    <s v="-"/>
    <x v="0"/>
    <n v="20"/>
    <n v="5"/>
    <n v="25"/>
  </r>
  <r>
    <x v="71"/>
    <s v="Karla Alves"/>
    <x v="1"/>
    <x v="70"/>
    <x v="1"/>
    <n v="5"/>
    <x v="1"/>
    <x v="1"/>
    <s v="-"/>
    <x v="1"/>
    <n v="0"/>
    <n v="0"/>
    <n v="5"/>
  </r>
  <r>
    <x v="72"/>
    <s v="Lucas Mendes"/>
    <x v="0"/>
    <x v="71"/>
    <x v="0"/>
    <n v="15"/>
    <x v="2"/>
    <x v="0"/>
    <n v="30"/>
    <x v="0"/>
    <n v="20"/>
    <n v="20"/>
    <n v="45"/>
  </r>
  <r>
    <x v="73"/>
    <s v="Mônica Gomes"/>
    <x v="2"/>
    <x v="72"/>
    <x v="1"/>
    <n v="10"/>
    <x v="2"/>
    <x v="1"/>
    <s v="-"/>
    <x v="0"/>
    <n v="20"/>
    <n v="12"/>
    <n v="18"/>
  </r>
  <r>
    <x v="74"/>
    <s v="Norberto Queiroz"/>
    <x v="1"/>
    <x v="73"/>
    <x v="0"/>
    <n v="5"/>
    <x v="0"/>
    <x v="1"/>
    <s v="-"/>
    <x v="1"/>
    <n v="0"/>
    <n v="2"/>
    <n v="3"/>
  </r>
  <r>
    <x v="75"/>
    <s v="Otávio Barros"/>
    <x v="0"/>
    <x v="74"/>
    <x v="1"/>
    <n v="15"/>
    <x v="1"/>
    <x v="0"/>
    <n v="30"/>
    <x v="0"/>
    <n v="20"/>
    <n v="5"/>
    <n v="60"/>
  </r>
  <r>
    <x v="76"/>
    <s v="Paula Vieira"/>
    <x v="2"/>
    <x v="75"/>
    <x v="0"/>
    <n v="10"/>
    <x v="0"/>
    <x v="1"/>
    <s v="-"/>
    <x v="0"/>
    <n v="20"/>
    <n v="10"/>
    <n v="20"/>
  </r>
  <r>
    <x v="77"/>
    <s v="Quentin Ramos"/>
    <x v="1"/>
    <x v="76"/>
    <x v="1"/>
    <n v="5"/>
    <x v="2"/>
    <x v="1"/>
    <s v="-"/>
    <x v="1"/>
    <n v="0"/>
    <n v="0"/>
    <n v="5"/>
  </r>
  <r>
    <x v="78"/>
    <s v="Raquel Novaes"/>
    <x v="0"/>
    <x v="77"/>
    <x v="0"/>
    <n v="15"/>
    <x v="0"/>
    <x v="0"/>
    <n v="30"/>
    <x v="0"/>
    <n v="20"/>
    <n v="3"/>
    <n v="62"/>
  </r>
  <r>
    <x v="79"/>
    <s v="Samantha Lopes"/>
    <x v="2"/>
    <x v="78"/>
    <x v="1"/>
    <n v="10"/>
    <x v="1"/>
    <x v="1"/>
    <s v="-"/>
    <x v="0"/>
    <n v="20"/>
    <n v="15"/>
    <n v="15"/>
  </r>
  <r>
    <x v="80"/>
    <s v="Tiago Martins"/>
    <x v="1"/>
    <x v="79"/>
    <x v="0"/>
    <n v="5"/>
    <x v="0"/>
    <x v="1"/>
    <s v="-"/>
    <x v="1"/>
    <n v="0"/>
    <n v="1"/>
    <n v="4"/>
  </r>
  <r>
    <x v="81"/>
    <s v="Ulysses Guimarães"/>
    <x v="0"/>
    <x v="80"/>
    <x v="1"/>
    <n v="15"/>
    <x v="2"/>
    <x v="0"/>
    <n v="30"/>
    <x v="0"/>
    <n v="20"/>
    <n v="7"/>
    <n v="58"/>
  </r>
  <r>
    <x v="82"/>
    <s v="Vanessa Silva"/>
    <x v="2"/>
    <x v="81"/>
    <x v="0"/>
    <n v="10"/>
    <x v="0"/>
    <x v="1"/>
    <s v="-"/>
    <x v="0"/>
    <n v="20"/>
    <n v="10"/>
    <n v="20"/>
  </r>
  <r>
    <x v="83"/>
    <s v="William Carneiro"/>
    <x v="1"/>
    <x v="82"/>
    <x v="1"/>
    <n v="5"/>
    <x v="1"/>
    <x v="1"/>
    <s v="-"/>
    <x v="1"/>
    <n v="0"/>
    <n v="0"/>
    <n v="5"/>
  </r>
  <r>
    <x v="84"/>
    <s v="Ximena Rocha"/>
    <x v="0"/>
    <x v="83"/>
    <x v="0"/>
    <n v="15"/>
    <x v="0"/>
    <x v="0"/>
    <n v="30"/>
    <x v="0"/>
    <n v="20"/>
    <n v="20"/>
    <n v="45"/>
  </r>
  <r>
    <x v="85"/>
    <s v="Yasmin Figueiredo"/>
    <x v="2"/>
    <x v="84"/>
    <x v="1"/>
    <n v="10"/>
    <x v="2"/>
    <x v="1"/>
    <s v="-"/>
    <x v="0"/>
    <n v="20"/>
    <n v="15"/>
    <n v="15"/>
  </r>
  <r>
    <x v="86"/>
    <s v="Zara Cunha"/>
    <x v="1"/>
    <x v="85"/>
    <x v="0"/>
    <n v="5"/>
    <x v="0"/>
    <x v="1"/>
    <s v="-"/>
    <x v="1"/>
    <n v="0"/>
    <n v="1"/>
    <n v="4"/>
  </r>
  <r>
    <x v="87"/>
    <s v="Alan Teixeira"/>
    <x v="0"/>
    <x v="86"/>
    <x v="1"/>
    <n v="15"/>
    <x v="1"/>
    <x v="0"/>
    <n v="30"/>
    <x v="0"/>
    <n v="20"/>
    <n v="3"/>
    <n v="62"/>
  </r>
  <r>
    <x v="88"/>
    <s v="Bárbara Oliveira"/>
    <x v="2"/>
    <x v="87"/>
    <x v="0"/>
    <n v="10"/>
    <x v="0"/>
    <x v="1"/>
    <s v="-"/>
    <x v="0"/>
    <n v="20"/>
    <n v="10"/>
    <n v="20"/>
  </r>
  <r>
    <x v="89"/>
    <s v="Carlos Junqueira"/>
    <x v="1"/>
    <x v="88"/>
    <x v="1"/>
    <n v="5"/>
    <x v="2"/>
    <x v="1"/>
    <s v="-"/>
    <x v="1"/>
    <n v="0"/>
    <n v="0"/>
    <n v="5"/>
  </r>
  <r>
    <x v="90"/>
    <s v="Daniela Moura"/>
    <x v="0"/>
    <x v="89"/>
    <x v="0"/>
    <n v="15"/>
    <x v="0"/>
    <x v="0"/>
    <n v="30"/>
    <x v="0"/>
    <n v="20"/>
    <n v="5"/>
    <n v="60"/>
  </r>
  <r>
    <x v="91"/>
    <s v="Eduardo Lima"/>
    <x v="2"/>
    <x v="90"/>
    <x v="1"/>
    <n v="10"/>
    <x v="1"/>
    <x v="1"/>
    <s v="-"/>
    <x v="0"/>
    <n v="20"/>
    <n v="15"/>
    <n v="15"/>
  </r>
  <r>
    <x v="92"/>
    <s v="Fabiana Araújo"/>
    <x v="1"/>
    <x v="91"/>
    <x v="0"/>
    <n v="5"/>
    <x v="0"/>
    <x v="1"/>
    <s v="-"/>
    <x v="1"/>
    <n v="0"/>
    <n v="1"/>
    <n v="4"/>
  </r>
  <r>
    <x v="93"/>
    <s v="Geraldo Ribeiro"/>
    <x v="0"/>
    <x v="92"/>
    <x v="1"/>
    <n v="15"/>
    <x v="2"/>
    <x v="0"/>
    <n v="30"/>
    <x v="0"/>
    <n v="20"/>
    <n v="20"/>
    <n v="45"/>
  </r>
  <r>
    <x v="94"/>
    <s v="Héctor Vargas"/>
    <x v="2"/>
    <x v="93"/>
    <x v="0"/>
    <n v="10"/>
    <x v="2"/>
    <x v="1"/>
    <s v="-"/>
    <x v="0"/>
    <n v="20"/>
    <n v="15"/>
    <n v="15"/>
  </r>
  <r>
    <x v="95"/>
    <s v="Isabela Fonseca"/>
    <x v="1"/>
    <x v="94"/>
    <x v="1"/>
    <n v="5"/>
    <x v="1"/>
    <x v="1"/>
    <s v="-"/>
    <x v="1"/>
    <n v="0"/>
    <n v="0"/>
    <n v="5"/>
  </r>
  <r>
    <x v="96"/>
    <s v="João Pedro Almeida"/>
    <x v="0"/>
    <x v="95"/>
    <x v="0"/>
    <n v="15"/>
    <x v="0"/>
    <x v="0"/>
    <n v="30"/>
    <x v="0"/>
    <n v="20"/>
    <n v="7"/>
    <n v="58"/>
  </r>
  <r>
    <x v="97"/>
    <s v="Klara Costa"/>
    <x v="2"/>
    <x v="96"/>
    <x v="1"/>
    <n v="10"/>
    <x v="1"/>
    <x v="1"/>
    <s v="-"/>
    <x v="0"/>
    <n v="20"/>
    <n v="10"/>
    <n v="20"/>
  </r>
  <r>
    <x v="98"/>
    <s v="Luciana Mendes"/>
    <x v="1"/>
    <x v="97"/>
    <x v="0"/>
    <n v="5"/>
    <x v="2"/>
    <x v="1"/>
    <s v="-"/>
    <x v="1"/>
    <n v="0"/>
    <n v="1"/>
    <n v="4"/>
  </r>
  <r>
    <x v="99"/>
    <s v="Marcelo Gouveia"/>
    <x v="0"/>
    <x v="98"/>
    <x v="1"/>
    <n v="15"/>
    <x v="0"/>
    <x v="0"/>
    <n v="30"/>
    <x v="0"/>
    <n v="20"/>
    <n v="15"/>
    <n v="50"/>
  </r>
  <r>
    <x v="100"/>
    <s v="Nívea Borges"/>
    <x v="2"/>
    <x v="99"/>
    <x v="0"/>
    <n v="10"/>
    <x v="0"/>
    <x v="1"/>
    <s v="-"/>
    <x v="0"/>
    <n v="20"/>
    <n v="5"/>
    <n v="25"/>
  </r>
  <r>
    <x v="101"/>
    <s v="Oscar Nogueira"/>
    <x v="1"/>
    <x v="100"/>
    <x v="1"/>
    <n v="5"/>
    <x v="1"/>
    <x v="1"/>
    <s v="-"/>
    <x v="1"/>
    <n v="0"/>
    <n v="0"/>
    <n v="5"/>
  </r>
  <r>
    <x v="102"/>
    <s v="Patrícia Alves"/>
    <x v="0"/>
    <x v="101"/>
    <x v="0"/>
    <n v="15"/>
    <x v="2"/>
    <x v="0"/>
    <n v="30"/>
    <x v="0"/>
    <n v="20"/>
    <n v="20"/>
    <n v="45"/>
  </r>
  <r>
    <x v="103"/>
    <s v="Rafaela Silva"/>
    <x v="2"/>
    <x v="102"/>
    <x v="1"/>
    <n v="10"/>
    <x v="2"/>
    <x v="1"/>
    <s v="-"/>
    <x v="0"/>
    <n v="20"/>
    <n v="12"/>
    <n v="18"/>
  </r>
  <r>
    <x v="104"/>
    <s v="Samantha Moraes"/>
    <x v="1"/>
    <x v="103"/>
    <x v="0"/>
    <n v="5"/>
    <x v="0"/>
    <x v="1"/>
    <s v="-"/>
    <x v="1"/>
    <n v="0"/>
    <n v="2"/>
    <n v="3"/>
  </r>
  <r>
    <x v="105"/>
    <s v="Tatiana Rocha"/>
    <x v="1"/>
    <x v="104"/>
    <x v="0"/>
    <n v="5"/>
    <x v="0"/>
    <x v="1"/>
    <s v="-"/>
    <x v="1"/>
    <n v="0"/>
    <n v="0"/>
    <n v="5"/>
  </r>
  <r>
    <x v="106"/>
    <s v="Ulisses Tavares"/>
    <x v="0"/>
    <x v="105"/>
    <x v="1"/>
    <n v="15"/>
    <x v="2"/>
    <x v="0"/>
    <n v="30"/>
    <x v="0"/>
    <n v="20"/>
    <n v="7"/>
    <n v="58"/>
  </r>
  <r>
    <x v="107"/>
    <s v="Víctor Lemos"/>
    <x v="2"/>
    <x v="106"/>
    <x v="0"/>
    <n v="10"/>
    <x v="1"/>
    <x v="1"/>
    <s v="-"/>
    <x v="0"/>
    <n v="20"/>
    <n v="10"/>
    <n v="20"/>
  </r>
  <r>
    <x v="108"/>
    <s v="Wilma Barros"/>
    <x v="1"/>
    <x v="107"/>
    <x v="1"/>
    <n v="5"/>
    <x v="2"/>
    <x v="1"/>
    <s v="-"/>
    <x v="1"/>
    <n v="0"/>
    <n v="1"/>
    <n v="4"/>
  </r>
  <r>
    <x v="109"/>
    <s v="Xavier Nascimento"/>
    <x v="0"/>
    <x v="108"/>
    <x v="0"/>
    <n v="15"/>
    <x v="0"/>
    <x v="0"/>
    <n v="30"/>
    <x v="0"/>
    <n v="20"/>
    <n v="15"/>
    <n v="50"/>
  </r>
  <r>
    <x v="110"/>
    <s v="Yago Pereira"/>
    <x v="2"/>
    <x v="109"/>
    <x v="1"/>
    <n v="10"/>
    <x v="0"/>
    <x v="1"/>
    <s v="-"/>
    <x v="0"/>
    <n v="20"/>
    <n v="5"/>
    <n v="25"/>
  </r>
  <r>
    <x v="111"/>
    <s v="Zilda Ferreira"/>
    <x v="1"/>
    <x v="110"/>
    <x v="0"/>
    <n v="5"/>
    <x v="1"/>
    <x v="1"/>
    <s v="-"/>
    <x v="1"/>
    <n v="0"/>
    <n v="0"/>
    <n v="5"/>
  </r>
  <r>
    <x v="112"/>
    <s v="Amanda Lopes"/>
    <x v="0"/>
    <x v="111"/>
    <x v="1"/>
    <n v="15"/>
    <x v="2"/>
    <x v="0"/>
    <n v="30"/>
    <x v="0"/>
    <n v="20"/>
    <n v="20"/>
    <n v="45"/>
  </r>
  <r>
    <x v="113"/>
    <s v="Bruno Miranda"/>
    <x v="2"/>
    <x v="112"/>
    <x v="0"/>
    <n v="10"/>
    <x v="2"/>
    <x v="1"/>
    <s v="-"/>
    <x v="0"/>
    <n v="20"/>
    <n v="12"/>
    <n v="18"/>
  </r>
  <r>
    <x v="114"/>
    <s v="Célia Torres"/>
    <x v="1"/>
    <x v="113"/>
    <x v="1"/>
    <n v="5"/>
    <x v="0"/>
    <x v="1"/>
    <s v="-"/>
    <x v="1"/>
    <n v="0"/>
    <n v="2"/>
    <n v="3"/>
  </r>
  <r>
    <x v="115"/>
    <s v="Diogo Souza"/>
    <x v="0"/>
    <x v="114"/>
    <x v="0"/>
    <n v="15"/>
    <x v="1"/>
    <x v="0"/>
    <n v="30"/>
    <x v="0"/>
    <n v="20"/>
    <n v="5"/>
    <n v="60"/>
  </r>
  <r>
    <x v="116"/>
    <s v="Elisa Castro"/>
    <x v="2"/>
    <x v="115"/>
    <x v="1"/>
    <n v="10"/>
    <x v="0"/>
    <x v="1"/>
    <s v="-"/>
    <x v="0"/>
    <n v="20"/>
    <n v="10"/>
    <n v="20"/>
  </r>
  <r>
    <x v="117"/>
    <s v="Fátima Lima"/>
    <x v="1"/>
    <x v="116"/>
    <x v="0"/>
    <n v="5"/>
    <x v="2"/>
    <x v="1"/>
    <s v="-"/>
    <x v="1"/>
    <n v="0"/>
    <n v="0"/>
    <n v="5"/>
  </r>
  <r>
    <x v="118"/>
    <s v="Geraldo Ribeiro"/>
    <x v="0"/>
    <x v="117"/>
    <x v="1"/>
    <n v="15"/>
    <x v="0"/>
    <x v="0"/>
    <n v="30"/>
    <x v="0"/>
    <n v="20"/>
    <n v="3"/>
    <n v="62"/>
  </r>
  <r>
    <x v="119"/>
    <s v="Hélio Martins"/>
    <x v="2"/>
    <x v="118"/>
    <x v="0"/>
    <n v="10"/>
    <x v="1"/>
    <x v="1"/>
    <s v="-"/>
    <x v="0"/>
    <n v="20"/>
    <n v="15"/>
    <n v="15"/>
  </r>
  <r>
    <x v="120"/>
    <s v="Íris Santos"/>
    <x v="1"/>
    <x v="119"/>
    <x v="1"/>
    <n v="5"/>
    <x v="0"/>
    <x v="1"/>
    <s v="-"/>
    <x v="1"/>
    <n v="0"/>
    <n v="1"/>
    <n v="4"/>
  </r>
  <r>
    <x v="121"/>
    <s v="João Marcelo"/>
    <x v="0"/>
    <x v="120"/>
    <x v="0"/>
    <n v="15"/>
    <x v="2"/>
    <x v="0"/>
    <n v="30"/>
    <x v="0"/>
    <n v="20"/>
    <n v="7"/>
    <n v="58"/>
  </r>
  <r>
    <x v="122"/>
    <s v="Larissa Gomes"/>
    <x v="2"/>
    <x v="121"/>
    <x v="1"/>
    <n v="10"/>
    <x v="0"/>
    <x v="1"/>
    <s v="-"/>
    <x v="0"/>
    <n v="20"/>
    <n v="10"/>
    <n v="20"/>
  </r>
  <r>
    <x v="123"/>
    <s v="Márcio Silva"/>
    <x v="1"/>
    <x v="122"/>
    <x v="0"/>
    <n v="5"/>
    <x v="1"/>
    <x v="1"/>
    <s v="-"/>
    <x v="1"/>
    <n v="0"/>
    <n v="0"/>
    <n v="5"/>
  </r>
  <r>
    <x v="124"/>
    <s v="Nadia Costa"/>
    <x v="0"/>
    <x v="123"/>
    <x v="1"/>
    <n v="15"/>
    <x v="0"/>
    <x v="0"/>
    <n v="30"/>
    <x v="0"/>
    <n v="20"/>
    <n v="20"/>
    <n v="45"/>
  </r>
  <r>
    <x v="125"/>
    <s v="Oscar Almeida"/>
    <x v="2"/>
    <x v="124"/>
    <x v="0"/>
    <n v="10"/>
    <x v="2"/>
    <x v="1"/>
    <s v="-"/>
    <x v="0"/>
    <n v="20"/>
    <n v="15"/>
    <n v="15"/>
  </r>
  <r>
    <x v="126"/>
    <s v="Patricia Soares"/>
    <x v="1"/>
    <x v="125"/>
    <x v="1"/>
    <n v="5"/>
    <x v="0"/>
    <x v="1"/>
    <s v="-"/>
    <x v="1"/>
    <n v="0"/>
    <n v="1"/>
    <n v="4"/>
  </r>
  <r>
    <x v="127"/>
    <s v="Quênia Barros"/>
    <x v="0"/>
    <x v="126"/>
    <x v="0"/>
    <n v="15"/>
    <x v="1"/>
    <x v="0"/>
    <n v="30"/>
    <x v="0"/>
    <n v="20"/>
    <n v="3"/>
    <n v="62"/>
  </r>
  <r>
    <x v="128"/>
    <s v="Rafael Torres"/>
    <x v="2"/>
    <x v="127"/>
    <x v="1"/>
    <n v="10"/>
    <x v="0"/>
    <x v="1"/>
    <s v="-"/>
    <x v="0"/>
    <n v="20"/>
    <n v="10"/>
    <n v="20"/>
  </r>
  <r>
    <x v="129"/>
    <s v="Silvia Nascimento"/>
    <x v="1"/>
    <x v="128"/>
    <x v="0"/>
    <n v="5"/>
    <x v="2"/>
    <x v="1"/>
    <s v="-"/>
    <x v="1"/>
    <n v="0"/>
    <n v="0"/>
    <n v="5"/>
  </r>
  <r>
    <x v="130"/>
    <s v="Tiago Mendes"/>
    <x v="0"/>
    <x v="129"/>
    <x v="1"/>
    <n v="15"/>
    <x v="0"/>
    <x v="0"/>
    <n v="30"/>
    <x v="0"/>
    <n v="20"/>
    <n v="15"/>
    <n v="50"/>
  </r>
  <r>
    <x v="131"/>
    <s v="Ursula Silva"/>
    <x v="2"/>
    <x v="130"/>
    <x v="0"/>
    <n v="10"/>
    <x v="1"/>
    <x v="1"/>
    <s v="-"/>
    <x v="0"/>
    <n v="20"/>
    <n v="15"/>
    <n v="15"/>
  </r>
  <r>
    <x v="132"/>
    <s v="Vanessa Moraes"/>
    <x v="1"/>
    <x v="131"/>
    <x v="1"/>
    <n v="5"/>
    <x v="0"/>
    <x v="1"/>
    <s v="-"/>
    <x v="1"/>
    <n v="0"/>
    <n v="1"/>
    <n v="4"/>
  </r>
  <r>
    <x v="133"/>
    <s v="Waldir Junior"/>
    <x v="0"/>
    <x v="132"/>
    <x v="0"/>
    <n v="15"/>
    <x v="2"/>
    <x v="0"/>
    <n v="30"/>
    <x v="0"/>
    <n v="20"/>
    <n v="7"/>
    <n v="58"/>
  </r>
  <r>
    <x v="134"/>
    <s v="Xavier Lopes"/>
    <x v="2"/>
    <x v="133"/>
    <x v="1"/>
    <n v="10"/>
    <x v="0"/>
    <x v="1"/>
    <s v="-"/>
    <x v="0"/>
    <n v="20"/>
    <n v="10"/>
    <n v="20"/>
  </r>
  <r>
    <x v="135"/>
    <s v="Yolanda Freitas"/>
    <x v="1"/>
    <x v="134"/>
    <x v="0"/>
    <n v="5"/>
    <x v="0"/>
    <x v="1"/>
    <s v="-"/>
    <x v="1"/>
    <n v="0"/>
    <n v="0"/>
    <n v="5"/>
  </r>
  <r>
    <x v="136"/>
    <s v="Zacarias Nunes"/>
    <x v="0"/>
    <x v="135"/>
    <x v="1"/>
    <n v="15"/>
    <x v="2"/>
    <x v="0"/>
    <n v="30"/>
    <x v="0"/>
    <n v="20"/>
    <n v="7"/>
    <n v="58"/>
  </r>
  <r>
    <x v="137"/>
    <s v="Ana Clara Barreto"/>
    <x v="2"/>
    <x v="136"/>
    <x v="0"/>
    <n v="10"/>
    <x v="1"/>
    <x v="1"/>
    <s v="-"/>
    <x v="0"/>
    <n v="20"/>
    <n v="10"/>
    <n v="20"/>
  </r>
  <r>
    <x v="138"/>
    <s v="Bruno Henrique"/>
    <x v="1"/>
    <x v="137"/>
    <x v="1"/>
    <n v="5"/>
    <x v="2"/>
    <x v="1"/>
    <s v="-"/>
    <x v="1"/>
    <n v="0"/>
    <n v="1"/>
    <n v="4"/>
  </r>
  <r>
    <x v="139"/>
    <s v="Carlos Eduardo"/>
    <x v="0"/>
    <x v="138"/>
    <x v="0"/>
    <n v="15"/>
    <x v="0"/>
    <x v="0"/>
    <n v="30"/>
    <x v="0"/>
    <n v="20"/>
    <n v="15"/>
    <n v="50"/>
  </r>
  <r>
    <x v="140"/>
    <s v="Débora Lima"/>
    <x v="2"/>
    <x v="139"/>
    <x v="1"/>
    <n v="10"/>
    <x v="0"/>
    <x v="1"/>
    <s v="-"/>
    <x v="0"/>
    <n v="20"/>
    <n v="5"/>
    <n v="25"/>
  </r>
  <r>
    <x v="141"/>
    <s v="Elisa Neves"/>
    <x v="1"/>
    <x v="140"/>
    <x v="0"/>
    <n v="5"/>
    <x v="1"/>
    <x v="1"/>
    <s v="-"/>
    <x v="1"/>
    <n v="0"/>
    <n v="0"/>
    <n v="5"/>
  </r>
  <r>
    <x v="142"/>
    <s v="Fabiano Gomes"/>
    <x v="0"/>
    <x v="141"/>
    <x v="1"/>
    <n v="15"/>
    <x v="2"/>
    <x v="0"/>
    <n v="30"/>
    <x v="0"/>
    <n v="20"/>
    <n v="20"/>
    <n v="45"/>
  </r>
  <r>
    <x v="143"/>
    <s v="Gisele Oliveira"/>
    <x v="2"/>
    <x v="142"/>
    <x v="0"/>
    <n v="10"/>
    <x v="2"/>
    <x v="1"/>
    <s v="-"/>
    <x v="0"/>
    <n v="20"/>
    <n v="12"/>
    <n v="18"/>
  </r>
  <r>
    <x v="144"/>
    <s v="Héctor Silva"/>
    <x v="1"/>
    <x v="143"/>
    <x v="1"/>
    <n v="5"/>
    <x v="0"/>
    <x v="1"/>
    <s v="-"/>
    <x v="1"/>
    <n v="0"/>
    <n v="2"/>
    <n v="3"/>
  </r>
  <r>
    <x v="145"/>
    <s v="Igor Martins"/>
    <x v="0"/>
    <x v="144"/>
    <x v="0"/>
    <n v="15"/>
    <x v="1"/>
    <x v="0"/>
    <n v="30"/>
    <x v="0"/>
    <n v="20"/>
    <n v="5"/>
    <n v="60"/>
  </r>
  <r>
    <x v="146"/>
    <s v="Joana Figueiredo"/>
    <x v="2"/>
    <x v="145"/>
    <x v="1"/>
    <n v="10"/>
    <x v="0"/>
    <x v="1"/>
    <s v="-"/>
    <x v="0"/>
    <n v="20"/>
    <n v="10"/>
    <n v="20"/>
  </r>
  <r>
    <x v="147"/>
    <s v="Kleber Machado"/>
    <x v="1"/>
    <x v="146"/>
    <x v="0"/>
    <n v="5"/>
    <x v="2"/>
    <x v="1"/>
    <s v="-"/>
    <x v="1"/>
    <n v="0"/>
    <n v="0"/>
    <n v="5"/>
  </r>
  <r>
    <x v="148"/>
    <s v="Luciana Santos"/>
    <x v="0"/>
    <x v="147"/>
    <x v="1"/>
    <n v="15"/>
    <x v="0"/>
    <x v="0"/>
    <n v="30"/>
    <x v="0"/>
    <n v="20"/>
    <n v="3"/>
    <n v="62"/>
  </r>
  <r>
    <x v="149"/>
    <s v="Marcos Teixeira"/>
    <x v="2"/>
    <x v="148"/>
    <x v="0"/>
    <n v="10"/>
    <x v="1"/>
    <x v="1"/>
    <s v="-"/>
    <x v="0"/>
    <n v="20"/>
    <n v="15"/>
    <n v="15"/>
  </r>
  <r>
    <x v="150"/>
    <s v="Natalia Costa"/>
    <x v="1"/>
    <x v="149"/>
    <x v="1"/>
    <n v="5"/>
    <x v="0"/>
    <x v="1"/>
    <s v="-"/>
    <x v="1"/>
    <n v="0"/>
    <n v="1"/>
    <n v="4"/>
  </r>
  <r>
    <x v="151"/>
    <s v="Oscar Ribeiro"/>
    <x v="0"/>
    <x v="150"/>
    <x v="0"/>
    <n v="15"/>
    <x v="2"/>
    <x v="0"/>
    <n v="30"/>
    <x v="0"/>
    <n v="20"/>
    <n v="7"/>
    <n v="58"/>
  </r>
  <r>
    <x v="152"/>
    <s v="Patricia Almeida"/>
    <x v="2"/>
    <x v="151"/>
    <x v="1"/>
    <n v="10"/>
    <x v="0"/>
    <x v="1"/>
    <s v="-"/>
    <x v="0"/>
    <n v="20"/>
    <n v="10"/>
    <n v="20"/>
  </r>
  <r>
    <x v="153"/>
    <s v="Quirino Junior"/>
    <x v="1"/>
    <x v="152"/>
    <x v="0"/>
    <n v="5"/>
    <x v="1"/>
    <x v="1"/>
    <s v="-"/>
    <x v="1"/>
    <n v="0"/>
    <n v="0"/>
    <n v="5"/>
  </r>
  <r>
    <x v="154"/>
    <s v="Renata Machado"/>
    <x v="0"/>
    <x v="153"/>
    <x v="1"/>
    <n v="15"/>
    <x v="0"/>
    <x v="0"/>
    <n v="30"/>
    <x v="0"/>
    <n v="20"/>
    <n v="20"/>
    <n v="45"/>
  </r>
  <r>
    <x v="155"/>
    <s v="Sônia Alves"/>
    <x v="2"/>
    <x v="154"/>
    <x v="0"/>
    <n v="10"/>
    <x v="2"/>
    <x v="1"/>
    <s v="-"/>
    <x v="0"/>
    <n v="20"/>
    <n v="15"/>
    <n v="15"/>
  </r>
  <r>
    <x v="156"/>
    <s v="Tiago Nunes"/>
    <x v="1"/>
    <x v="155"/>
    <x v="1"/>
    <n v="5"/>
    <x v="0"/>
    <x v="1"/>
    <s v="-"/>
    <x v="1"/>
    <n v="0"/>
    <n v="1"/>
    <n v="4"/>
  </r>
  <r>
    <x v="157"/>
    <s v="Ulysses Pereira"/>
    <x v="0"/>
    <x v="156"/>
    <x v="0"/>
    <n v="15"/>
    <x v="1"/>
    <x v="0"/>
    <n v="30"/>
    <x v="0"/>
    <n v="20"/>
    <n v="3"/>
    <n v="62"/>
  </r>
  <r>
    <x v="158"/>
    <s v="Vanessa Lima"/>
    <x v="2"/>
    <x v="157"/>
    <x v="1"/>
    <n v="10"/>
    <x v="0"/>
    <x v="1"/>
    <s v="-"/>
    <x v="0"/>
    <n v="20"/>
    <n v="10"/>
    <n v="20"/>
  </r>
  <r>
    <x v="159"/>
    <s v="Wagner Santos"/>
    <x v="1"/>
    <x v="158"/>
    <x v="0"/>
    <n v="5"/>
    <x v="2"/>
    <x v="1"/>
    <s v="-"/>
    <x v="1"/>
    <n v="0"/>
    <n v="0"/>
    <n v="5"/>
  </r>
  <r>
    <x v="160"/>
    <s v="Xuxa Meneghel"/>
    <x v="0"/>
    <x v="159"/>
    <x v="1"/>
    <n v="15"/>
    <x v="0"/>
    <x v="0"/>
    <n v="30"/>
    <x v="0"/>
    <n v="20"/>
    <n v="15"/>
    <n v="50"/>
  </r>
  <r>
    <x v="161"/>
    <s v="Yasmin Silva"/>
    <x v="2"/>
    <x v="160"/>
    <x v="0"/>
    <n v="10"/>
    <x v="1"/>
    <x v="1"/>
    <s v="-"/>
    <x v="0"/>
    <n v="20"/>
    <n v="15"/>
    <n v="15"/>
  </r>
  <r>
    <x v="162"/>
    <s v="Zacarias de Souza"/>
    <x v="1"/>
    <x v="161"/>
    <x v="1"/>
    <n v="5"/>
    <x v="0"/>
    <x v="1"/>
    <s v="-"/>
    <x v="1"/>
    <n v="0"/>
    <n v="1"/>
    <n v="4"/>
  </r>
  <r>
    <x v="163"/>
    <s v="André Lima"/>
    <x v="0"/>
    <x v="162"/>
    <x v="0"/>
    <n v="15"/>
    <x v="2"/>
    <x v="0"/>
    <n v="30"/>
    <x v="0"/>
    <n v="20"/>
    <n v="7"/>
    <n v="58"/>
  </r>
  <r>
    <x v="164"/>
    <s v="Bianca Freitas"/>
    <x v="2"/>
    <x v="163"/>
    <x v="1"/>
    <n v="10"/>
    <x v="0"/>
    <x v="1"/>
    <s v="-"/>
    <x v="0"/>
    <n v="20"/>
    <n v="10"/>
    <n v="20"/>
  </r>
  <r>
    <x v="165"/>
    <s v="Caio Mendes"/>
    <x v="1"/>
    <x v="164"/>
    <x v="0"/>
    <n v="5"/>
    <x v="1"/>
    <x v="1"/>
    <s v="-"/>
    <x v="1"/>
    <n v="0"/>
    <n v="0"/>
    <n v="5"/>
  </r>
  <r>
    <x v="166"/>
    <s v="Daniela Moura"/>
    <x v="0"/>
    <x v="165"/>
    <x v="1"/>
    <n v="15"/>
    <x v="0"/>
    <x v="0"/>
    <n v="30"/>
    <x v="0"/>
    <n v="20"/>
    <n v="20"/>
    <n v="45"/>
  </r>
  <r>
    <x v="167"/>
    <s v="Eduardo Costa"/>
    <x v="2"/>
    <x v="166"/>
    <x v="0"/>
    <n v="10"/>
    <x v="2"/>
    <x v="1"/>
    <s v="-"/>
    <x v="0"/>
    <n v="20"/>
    <n v="15"/>
    <n v="15"/>
  </r>
  <r>
    <x v="168"/>
    <s v="Fernanda Gomes"/>
    <x v="1"/>
    <x v="167"/>
    <x v="1"/>
    <n v="5"/>
    <x v="0"/>
    <x v="1"/>
    <s v="-"/>
    <x v="1"/>
    <n v="0"/>
    <n v="1"/>
    <n v="4"/>
  </r>
  <r>
    <x v="169"/>
    <s v="Guilherme Souza"/>
    <x v="0"/>
    <x v="168"/>
    <x v="0"/>
    <n v="15"/>
    <x v="1"/>
    <x v="0"/>
    <n v="30"/>
    <x v="0"/>
    <n v="20"/>
    <n v="5"/>
    <n v="60"/>
  </r>
  <r>
    <x v="170"/>
    <s v="Helena Ribeiro"/>
    <x v="2"/>
    <x v="169"/>
    <x v="1"/>
    <n v="10"/>
    <x v="0"/>
    <x v="1"/>
    <s v="-"/>
    <x v="0"/>
    <n v="20"/>
    <n v="10"/>
    <n v="20"/>
  </r>
  <r>
    <x v="171"/>
    <s v="Igor Santos"/>
    <x v="1"/>
    <x v="170"/>
    <x v="0"/>
    <n v="5"/>
    <x v="2"/>
    <x v="1"/>
    <s v="-"/>
    <x v="1"/>
    <n v="0"/>
    <n v="0"/>
    <n v="5"/>
  </r>
  <r>
    <x v="172"/>
    <s v="João Carvalho"/>
    <x v="0"/>
    <x v="171"/>
    <x v="1"/>
    <n v="15"/>
    <x v="0"/>
    <x v="0"/>
    <n v="30"/>
    <x v="0"/>
    <n v="20"/>
    <n v="3"/>
    <n v="62"/>
  </r>
  <r>
    <x v="173"/>
    <s v="Klara Fagundes"/>
    <x v="2"/>
    <x v="172"/>
    <x v="0"/>
    <n v="10"/>
    <x v="1"/>
    <x v="1"/>
    <s v="-"/>
    <x v="0"/>
    <n v="20"/>
    <n v="15"/>
    <n v="15"/>
  </r>
  <r>
    <x v="174"/>
    <s v="Lúcia Mendonça"/>
    <x v="1"/>
    <x v="173"/>
    <x v="1"/>
    <n v="5"/>
    <x v="0"/>
    <x v="1"/>
    <s v="-"/>
    <x v="1"/>
    <n v="0"/>
    <n v="1"/>
    <n v="4"/>
  </r>
  <r>
    <x v="175"/>
    <s v="Marcelo Novaes"/>
    <x v="1"/>
    <x v="174"/>
    <x v="0"/>
    <n v="5"/>
    <x v="0"/>
    <x v="1"/>
    <s v="-"/>
    <x v="1"/>
    <n v="0"/>
    <n v="0"/>
    <n v="5"/>
  </r>
  <r>
    <x v="176"/>
    <s v="Nina Pacheco"/>
    <x v="0"/>
    <x v="175"/>
    <x v="1"/>
    <n v="15"/>
    <x v="2"/>
    <x v="0"/>
    <n v="30"/>
    <x v="0"/>
    <n v="20"/>
    <n v="7"/>
    <n v="58"/>
  </r>
  <r>
    <x v="177"/>
    <s v="Olívia Rios"/>
    <x v="2"/>
    <x v="176"/>
    <x v="0"/>
    <n v="10"/>
    <x v="1"/>
    <x v="1"/>
    <s v="-"/>
    <x v="0"/>
    <n v="20"/>
    <n v="10"/>
    <n v="20"/>
  </r>
  <r>
    <x v="178"/>
    <s v="Paulo Quintana"/>
    <x v="1"/>
    <x v="177"/>
    <x v="1"/>
    <n v="5"/>
    <x v="2"/>
    <x v="1"/>
    <s v="-"/>
    <x v="1"/>
    <n v="0"/>
    <n v="1"/>
    <n v="4"/>
  </r>
  <r>
    <x v="179"/>
    <s v="Raquel Domingos"/>
    <x v="0"/>
    <x v="178"/>
    <x v="0"/>
    <n v="15"/>
    <x v="0"/>
    <x v="0"/>
    <n v="30"/>
    <x v="0"/>
    <n v="20"/>
    <n v="15"/>
    <n v="50"/>
  </r>
  <r>
    <x v="180"/>
    <s v="Samuel Viana"/>
    <x v="2"/>
    <x v="179"/>
    <x v="1"/>
    <n v="10"/>
    <x v="0"/>
    <x v="1"/>
    <s v="-"/>
    <x v="0"/>
    <n v="20"/>
    <n v="5"/>
    <n v="25"/>
  </r>
  <r>
    <x v="181"/>
    <s v="Tatiane Rocha"/>
    <x v="1"/>
    <x v="180"/>
    <x v="0"/>
    <n v="5"/>
    <x v="1"/>
    <x v="1"/>
    <s v="-"/>
    <x v="1"/>
    <n v="0"/>
    <n v="0"/>
    <n v="5"/>
  </r>
  <r>
    <x v="182"/>
    <s v="Ulysses Farias"/>
    <x v="0"/>
    <x v="181"/>
    <x v="1"/>
    <n v="15"/>
    <x v="2"/>
    <x v="0"/>
    <n v="30"/>
    <x v="0"/>
    <n v="20"/>
    <n v="20"/>
    <n v="45"/>
  </r>
  <r>
    <x v="183"/>
    <s v="Vanessa Moreira"/>
    <x v="2"/>
    <x v="182"/>
    <x v="0"/>
    <n v="10"/>
    <x v="2"/>
    <x v="1"/>
    <s v="-"/>
    <x v="0"/>
    <n v="20"/>
    <n v="12"/>
    <n v="18"/>
  </r>
  <r>
    <x v="184"/>
    <s v="William Carvalho"/>
    <x v="1"/>
    <x v="183"/>
    <x v="1"/>
    <n v="5"/>
    <x v="0"/>
    <x v="1"/>
    <s v="-"/>
    <x v="1"/>
    <n v="0"/>
    <n v="2"/>
    <n v="3"/>
  </r>
  <r>
    <x v="185"/>
    <s v="Ximena Barros"/>
    <x v="0"/>
    <x v="184"/>
    <x v="0"/>
    <n v="15"/>
    <x v="1"/>
    <x v="0"/>
    <n v="30"/>
    <x v="0"/>
    <n v="20"/>
    <n v="5"/>
    <n v="60"/>
  </r>
  <r>
    <x v="186"/>
    <s v="Yara Machado"/>
    <x v="2"/>
    <x v="185"/>
    <x v="1"/>
    <n v="10"/>
    <x v="0"/>
    <x v="1"/>
    <s v="-"/>
    <x v="0"/>
    <n v="20"/>
    <n v="10"/>
    <n v="20"/>
  </r>
  <r>
    <x v="187"/>
    <s v="Zacarias Costa"/>
    <x v="1"/>
    <x v="186"/>
    <x v="0"/>
    <n v="5"/>
    <x v="2"/>
    <x v="1"/>
    <s v="-"/>
    <x v="1"/>
    <n v="0"/>
    <n v="0"/>
    <n v="5"/>
  </r>
  <r>
    <x v="188"/>
    <s v="André Lopes"/>
    <x v="0"/>
    <x v="187"/>
    <x v="1"/>
    <n v="15"/>
    <x v="0"/>
    <x v="0"/>
    <n v="30"/>
    <x v="0"/>
    <n v="20"/>
    <n v="3"/>
    <n v="62"/>
  </r>
  <r>
    <x v="189"/>
    <s v="Beatriz Souza"/>
    <x v="2"/>
    <x v="188"/>
    <x v="0"/>
    <n v="10"/>
    <x v="1"/>
    <x v="1"/>
    <s v="-"/>
    <x v="0"/>
    <n v="20"/>
    <n v="15"/>
    <n v="15"/>
  </r>
  <r>
    <x v="190"/>
    <s v="Caio Pereira"/>
    <x v="1"/>
    <x v="189"/>
    <x v="1"/>
    <n v="5"/>
    <x v="0"/>
    <x v="1"/>
    <s v="-"/>
    <x v="1"/>
    <n v="0"/>
    <n v="1"/>
    <n v="4"/>
  </r>
  <r>
    <x v="191"/>
    <s v="Daniela Araújo"/>
    <x v="0"/>
    <x v="190"/>
    <x v="0"/>
    <n v="15"/>
    <x v="2"/>
    <x v="0"/>
    <n v="30"/>
    <x v="0"/>
    <n v="20"/>
    <n v="7"/>
    <n v="58"/>
  </r>
  <r>
    <x v="192"/>
    <s v="Eduardo Santos"/>
    <x v="2"/>
    <x v="191"/>
    <x v="1"/>
    <n v="10"/>
    <x v="0"/>
    <x v="1"/>
    <s v="-"/>
    <x v="0"/>
    <n v="20"/>
    <n v="10"/>
    <n v="20"/>
  </r>
  <r>
    <x v="193"/>
    <s v="Fernanda Lima"/>
    <x v="1"/>
    <x v="192"/>
    <x v="0"/>
    <n v="5"/>
    <x v="1"/>
    <x v="1"/>
    <s v="-"/>
    <x v="1"/>
    <n v="0"/>
    <n v="0"/>
    <n v="5"/>
  </r>
  <r>
    <x v="194"/>
    <s v="Gabriel Teixeira"/>
    <x v="0"/>
    <x v="193"/>
    <x v="1"/>
    <n v="15"/>
    <x v="0"/>
    <x v="0"/>
    <n v="30"/>
    <x v="0"/>
    <n v="20"/>
    <n v="20"/>
    <n v="45"/>
  </r>
  <r>
    <x v="195"/>
    <s v="Helena Ribeiro"/>
    <x v="2"/>
    <x v="194"/>
    <x v="0"/>
    <n v="10"/>
    <x v="2"/>
    <x v="1"/>
    <s v="-"/>
    <x v="0"/>
    <n v="20"/>
    <n v="15"/>
    <n v="15"/>
  </r>
  <r>
    <x v="196"/>
    <s v="Igor Mendes"/>
    <x v="1"/>
    <x v="195"/>
    <x v="1"/>
    <n v="5"/>
    <x v="0"/>
    <x v="1"/>
    <s v="-"/>
    <x v="1"/>
    <n v="0"/>
    <n v="1"/>
    <n v="4"/>
  </r>
  <r>
    <x v="197"/>
    <s v="Joana Silveira"/>
    <x v="0"/>
    <x v="196"/>
    <x v="0"/>
    <n v="15"/>
    <x v="1"/>
    <x v="0"/>
    <n v="30"/>
    <x v="0"/>
    <n v="20"/>
    <n v="3"/>
    <n v="62"/>
  </r>
  <r>
    <x v="198"/>
    <s v="Lucas Martins"/>
    <x v="2"/>
    <x v="197"/>
    <x v="1"/>
    <n v="10"/>
    <x v="0"/>
    <x v="1"/>
    <s v="-"/>
    <x v="0"/>
    <n v="20"/>
    <n v="10"/>
    <n v="20"/>
  </r>
  <r>
    <x v="199"/>
    <s v="Marcela Gouveia"/>
    <x v="1"/>
    <x v="198"/>
    <x v="0"/>
    <n v="5"/>
    <x v="2"/>
    <x v="1"/>
    <s v="-"/>
    <x v="1"/>
    <n v="0"/>
    <n v="0"/>
    <n v="5"/>
  </r>
  <r>
    <x v="200"/>
    <s v="Nicolas Borges"/>
    <x v="0"/>
    <x v="199"/>
    <x v="1"/>
    <n v="15"/>
    <x v="0"/>
    <x v="0"/>
    <n v="30"/>
    <x v="0"/>
    <n v="20"/>
    <n v="15"/>
    <n v="50"/>
  </r>
  <r>
    <x v="201"/>
    <s v="Olivia Freitas"/>
    <x v="2"/>
    <x v="200"/>
    <x v="0"/>
    <n v="10"/>
    <x v="1"/>
    <x v="1"/>
    <s v="-"/>
    <x v="0"/>
    <n v="20"/>
    <n v="15"/>
    <n v="15"/>
  </r>
  <r>
    <x v="202"/>
    <s v="Paulo Nogueira"/>
    <x v="1"/>
    <x v="201"/>
    <x v="1"/>
    <n v="5"/>
    <x v="0"/>
    <x v="1"/>
    <s v="-"/>
    <x v="1"/>
    <n v="0"/>
    <n v="1"/>
    <n v="4"/>
  </r>
  <r>
    <x v="203"/>
    <s v="Raquel Andrade"/>
    <x v="0"/>
    <x v="202"/>
    <x v="0"/>
    <n v="15"/>
    <x v="2"/>
    <x v="0"/>
    <n v="30"/>
    <x v="0"/>
    <n v="20"/>
    <n v="7"/>
    <n v="58"/>
  </r>
  <r>
    <x v="204"/>
    <s v="Sônia Carvalho"/>
    <x v="2"/>
    <x v="203"/>
    <x v="1"/>
    <n v="10"/>
    <x v="0"/>
    <x v="1"/>
    <s v="-"/>
    <x v="0"/>
    <n v="20"/>
    <n v="10"/>
    <n v="20"/>
  </r>
  <r>
    <x v="205"/>
    <s v="Tiago Rodrigues"/>
    <x v="1"/>
    <x v="204"/>
    <x v="0"/>
    <n v="5"/>
    <x v="0"/>
    <x v="1"/>
    <s v="-"/>
    <x v="1"/>
    <n v="0"/>
    <n v="0"/>
    <n v="5"/>
  </r>
  <r>
    <x v="206"/>
    <s v="Ursula Monteiro"/>
    <x v="0"/>
    <x v="205"/>
    <x v="1"/>
    <n v="15"/>
    <x v="2"/>
    <x v="0"/>
    <n v="30"/>
    <x v="0"/>
    <n v="20"/>
    <n v="7"/>
    <n v="58"/>
  </r>
  <r>
    <x v="207"/>
    <s v="Vanessa Pereira"/>
    <x v="2"/>
    <x v="206"/>
    <x v="0"/>
    <n v="10"/>
    <x v="1"/>
    <x v="1"/>
    <s v="-"/>
    <x v="0"/>
    <n v="20"/>
    <n v="10"/>
    <n v="20"/>
  </r>
  <r>
    <x v="208"/>
    <s v="Walter Silva"/>
    <x v="1"/>
    <x v="207"/>
    <x v="1"/>
    <n v="5"/>
    <x v="2"/>
    <x v="1"/>
    <s v="-"/>
    <x v="1"/>
    <n v="0"/>
    <n v="1"/>
    <n v="4"/>
  </r>
  <r>
    <x v="209"/>
    <s v="Xavier Almeida"/>
    <x v="0"/>
    <x v="208"/>
    <x v="0"/>
    <n v="15"/>
    <x v="0"/>
    <x v="0"/>
    <n v="30"/>
    <x v="0"/>
    <n v="20"/>
    <n v="15"/>
    <n v="50"/>
  </r>
  <r>
    <x v="210"/>
    <s v="Yasmine Correia"/>
    <x v="2"/>
    <x v="209"/>
    <x v="1"/>
    <n v="10"/>
    <x v="0"/>
    <x v="1"/>
    <s v="-"/>
    <x v="0"/>
    <n v="20"/>
    <n v="5"/>
    <n v="25"/>
  </r>
  <r>
    <x v="211"/>
    <s v="Zacarias Almeida"/>
    <x v="1"/>
    <x v="210"/>
    <x v="0"/>
    <n v="5"/>
    <x v="1"/>
    <x v="1"/>
    <s v="-"/>
    <x v="1"/>
    <n v="0"/>
    <n v="0"/>
    <n v="5"/>
  </r>
  <r>
    <x v="212"/>
    <s v="Amanda Costa"/>
    <x v="0"/>
    <x v="211"/>
    <x v="1"/>
    <n v="15"/>
    <x v="2"/>
    <x v="0"/>
    <n v="30"/>
    <x v="0"/>
    <n v="20"/>
    <n v="20"/>
    <n v="45"/>
  </r>
  <r>
    <x v="213"/>
    <s v="Bruno Ferreira"/>
    <x v="2"/>
    <x v="212"/>
    <x v="0"/>
    <n v="10"/>
    <x v="2"/>
    <x v="1"/>
    <s v="-"/>
    <x v="0"/>
    <n v="20"/>
    <n v="12"/>
    <n v="18"/>
  </r>
  <r>
    <x v="214"/>
    <s v="Carla Dias"/>
    <x v="1"/>
    <x v="213"/>
    <x v="1"/>
    <n v="5"/>
    <x v="0"/>
    <x v="1"/>
    <s v="-"/>
    <x v="1"/>
    <n v="0"/>
    <n v="2"/>
    <n v="3"/>
  </r>
  <r>
    <x v="215"/>
    <s v="Diogo Martins"/>
    <x v="0"/>
    <x v="214"/>
    <x v="0"/>
    <n v="15"/>
    <x v="1"/>
    <x v="0"/>
    <n v="30"/>
    <x v="0"/>
    <n v="20"/>
    <n v="5"/>
    <n v="60"/>
  </r>
  <r>
    <x v="216"/>
    <s v="Elisa Campos"/>
    <x v="2"/>
    <x v="215"/>
    <x v="1"/>
    <n v="10"/>
    <x v="0"/>
    <x v="1"/>
    <s v="-"/>
    <x v="0"/>
    <n v="20"/>
    <n v="10"/>
    <n v="20"/>
  </r>
  <r>
    <x v="217"/>
    <s v="Fabiana Lima"/>
    <x v="1"/>
    <x v="216"/>
    <x v="0"/>
    <n v="5"/>
    <x v="2"/>
    <x v="1"/>
    <s v="-"/>
    <x v="1"/>
    <n v="0"/>
    <n v="0"/>
    <n v="5"/>
  </r>
  <r>
    <x v="218"/>
    <s v="Gabriel Santos"/>
    <x v="0"/>
    <x v="217"/>
    <x v="1"/>
    <n v="15"/>
    <x v="0"/>
    <x v="0"/>
    <n v="30"/>
    <x v="0"/>
    <n v="20"/>
    <n v="3"/>
    <n v="62"/>
  </r>
  <r>
    <x v="219"/>
    <s v="Helena Ferreira"/>
    <x v="2"/>
    <x v="218"/>
    <x v="0"/>
    <n v="10"/>
    <x v="1"/>
    <x v="1"/>
    <s v="-"/>
    <x v="0"/>
    <n v="20"/>
    <n v="15"/>
    <n v="15"/>
  </r>
  <r>
    <x v="220"/>
    <s v="Ígor Nunes"/>
    <x v="1"/>
    <x v="219"/>
    <x v="1"/>
    <n v="5"/>
    <x v="0"/>
    <x v="1"/>
    <s v="-"/>
    <x v="1"/>
    <n v="0"/>
    <n v="1"/>
    <n v="4"/>
  </r>
  <r>
    <x v="221"/>
    <s v="Joana Silveira"/>
    <x v="0"/>
    <x v="220"/>
    <x v="0"/>
    <n v="15"/>
    <x v="2"/>
    <x v="0"/>
    <n v="30"/>
    <x v="0"/>
    <n v="20"/>
    <n v="7"/>
    <n v="58"/>
  </r>
  <r>
    <x v="222"/>
    <s v="Kléber Oliveira"/>
    <x v="2"/>
    <x v="221"/>
    <x v="1"/>
    <n v="10"/>
    <x v="0"/>
    <x v="1"/>
    <s v="-"/>
    <x v="0"/>
    <n v="20"/>
    <n v="10"/>
    <n v="20"/>
  </r>
  <r>
    <x v="223"/>
    <s v="Luciana Morais"/>
    <x v="1"/>
    <x v="222"/>
    <x v="0"/>
    <n v="5"/>
    <x v="1"/>
    <x v="1"/>
    <s v="-"/>
    <x v="1"/>
    <n v="0"/>
    <n v="0"/>
    <n v="5"/>
  </r>
  <r>
    <x v="224"/>
    <s v="Marcos Vinícius"/>
    <x v="0"/>
    <x v="223"/>
    <x v="1"/>
    <n v="15"/>
    <x v="0"/>
    <x v="0"/>
    <n v="30"/>
    <x v="0"/>
    <n v="20"/>
    <n v="20"/>
    <n v="45"/>
  </r>
  <r>
    <x v="225"/>
    <s v="Natália Barros"/>
    <x v="2"/>
    <x v="224"/>
    <x v="0"/>
    <n v="10"/>
    <x v="2"/>
    <x v="1"/>
    <s v="-"/>
    <x v="0"/>
    <n v="20"/>
    <n v="15"/>
    <n v="15"/>
  </r>
  <r>
    <x v="226"/>
    <s v="Oscar Sampaio"/>
    <x v="1"/>
    <x v="225"/>
    <x v="1"/>
    <n v="5"/>
    <x v="0"/>
    <x v="1"/>
    <s v="-"/>
    <x v="1"/>
    <n v="0"/>
    <n v="1"/>
    <n v="4"/>
  </r>
  <r>
    <x v="227"/>
    <s v="Patrícia Leite"/>
    <x v="0"/>
    <x v="226"/>
    <x v="0"/>
    <n v="15"/>
    <x v="1"/>
    <x v="0"/>
    <n v="30"/>
    <x v="0"/>
    <n v="20"/>
    <n v="3"/>
    <n v="62"/>
  </r>
  <r>
    <x v="228"/>
    <s v="Quênia Rocha"/>
    <x v="2"/>
    <x v="227"/>
    <x v="1"/>
    <n v="10"/>
    <x v="0"/>
    <x v="1"/>
    <s v="-"/>
    <x v="0"/>
    <n v="20"/>
    <n v="10"/>
    <n v="20"/>
  </r>
  <r>
    <x v="229"/>
    <s v="Rafael Torres"/>
    <x v="1"/>
    <x v="228"/>
    <x v="0"/>
    <n v="5"/>
    <x v="2"/>
    <x v="1"/>
    <s v="-"/>
    <x v="1"/>
    <n v="0"/>
    <n v="0"/>
    <n v="5"/>
  </r>
  <r>
    <x v="230"/>
    <s v="Sandra Gouveia"/>
    <x v="0"/>
    <x v="229"/>
    <x v="1"/>
    <n v="15"/>
    <x v="0"/>
    <x v="0"/>
    <n v="30"/>
    <x v="0"/>
    <n v="20"/>
    <n v="15"/>
    <n v="50"/>
  </r>
  <r>
    <x v="231"/>
    <s v="Tiago Lacerda"/>
    <x v="2"/>
    <x v="230"/>
    <x v="0"/>
    <n v="10"/>
    <x v="1"/>
    <x v="1"/>
    <s v="-"/>
    <x v="0"/>
    <n v="20"/>
    <n v="15"/>
    <n v="15"/>
  </r>
  <r>
    <x v="232"/>
    <s v="Ursula Fonseca"/>
    <x v="1"/>
    <x v="231"/>
    <x v="1"/>
    <n v="5"/>
    <x v="0"/>
    <x v="1"/>
    <s v="-"/>
    <x v="1"/>
    <n v="0"/>
    <n v="1"/>
    <n v="4"/>
  </r>
  <r>
    <x v="233"/>
    <s v="Vanessa Andrade"/>
    <x v="0"/>
    <x v="232"/>
    <x v="0"/>
    <n v="15"/>
    <x v="2"/>
    <x v="0"/>
    <n v="30"/>
    <x v="0"/>
    <n v="20"/>
    <n v="7"/>
    <n v="58"/>
  </r>
  <r>
    <x v="234"/>
    <s v="William Castro"/>
    <x v="2"/>
    <x v="233"/>
    <x v="1"/>
    <n v="10"/>
    <x v="0"/>
    <x v="1"/>
    <s v="-"/>
    <x v="0"/>
    <n v="20"/>
    <n v="10"/>
    <n v="20"/>
  </r>
  <r>
    <x v="235"/>
    <s v="Xavier Monteiro"/>
    <x v="1"/>
    <x v="234"/>
    <x v="0"/>
    <n v="5"/>
    <x v="1"/>
    <x v="1"/>
    <s v="-"/>
    <x v="1"/>
    <n v="0"/>
    <n v="0"/>
    <n v="5"/>
  </r>
  <r>
    <x v="236"/>
    <s v="Yasmin Figueira"/>
    <x v="0"/>
    <x v="235"/>
    <x v="1"/>
    <n v="15"/>
    <x v="0"/>
    <x v="0"/>
    <n v="30"/>
    <x v="0"/>
    <n v="20"/>
    <n v="15"/>
    <n v="50"/>
  </r>
  <r>
    <x v="237"/>
    <s v="Zacarias Mendonça"/>
    <x v="2"/>
    <x v="236"/>
    <x v="0"/>
    <n v="10"/>
    <x v="2"/>
    <x v="1"/>
    <s v="-"/>
    <x v="0"/>
    <n v="20"/>
    <n v="12"/>
    <n v="18"/>
  </r>
  <r>
    <x v="238"/>
    <s v="Amanda Menezes"/>
    <x v="1"/>
    <x v="237"/>
    <x v="1"/>
    <n v="5"/>
    <x v="0"/>
    <x v="1"/>
    <s v="-"/>
    <x v="1"/>
    <n v="0"/>
    <n v="2"/>
    <n v="3"/>
  </r>
  <r>
    <x v="239"/>
    <s v="Bruno Santos"/>
    <x v="0"/>
    <x v="238"/>
    <x v="0"/>
    <n v="15"/>
    <x v="1"/>
    <x v="0"/>
    <n v="30"/>
    <x v="0"/>
    <n v="20"/>
    <n v="5"/>
    <n v="60"/>
  </r>
  <r>
    <x v="240"/>
    <s v="Carla Ferreira"/>
    <x v="2"/>
    <x v="239"/>
    <x v="1"/>
    <n v="10"/>
    <x v="0"/>
    <x v="1"/>
    <s v="-"/>
    <x v="0"/>
    <n v="20"/>
    <n v="10"/>
    <n v="20"/>
  </r>
  <r>
    <x v="241"/>
    <s v="Diogo Alves"/>
    <x v="1"/>
    <x v="240"/>
    <x v="0"/>
    <n v="5"/>
    <x v="2"/>
    <x v="1"/>
    <s v="-"/>
    <x v="1"/>
    <n v="0"/>
    <n v="0"/>
    <n v="5"/>
  </r>
  <r>
    <x v="242"/>
    <s v="Elisa Neves"/>
    <x v="0"/>
    <x v="241"/>
    <x v="1"/>
    <n v="15"/>
    <x v="0"/>
    <x v="0"/>
    <n v="30"/>
    <x v="0"/>
    <n v="20"/>
    <n v="3"/>
    <n v="62"/>
  </r>
  <r>
    <x v="243"/>
    <s v="Fabiano Pires"/>
    <x v="2"/>
    <x v="242"/>
    <x v="0"/>
    <n v="10"/>
    <x v="1"/>
    <x v="1"/>
    <s v="-"/>
    <x v="0"/>
    <n v="20"/>
    <n v="15"/>
    <n v="15"/>
  </r>
  <r>
    <x v="244"/>
    <s v="Giovana Ribeiro"/>
    <x v="1"/>
    <x v="243"/>
    <x v="1"/>
    <n v="5"/>
    <x v="0"/>
    <x v="1"/>
    <s v="-"/>
    <x v="1"/>
    <n v="0"/>
    <n v="1"/>
    <n v="4"/>
  </r>
  <r>
    <x v="245"/>
    <s v="Hélio Costa"/>
    <x v="0"/>
    <x v="244"/>
    <x v="0"/>
    <n v="15"/>
    <x v="2"/>
    <x v="0"/>
    <n v="30"/>
    <x v="0"/>
    <n v="20"/>
    <n v="7"/>
    <n v="58"/>
  </r>
  <r>
    <x v="246"/>
    <s v="Íris Loureiro"/>
    <x v="2"/>
    <x v="245"/>
    <x v="1"/>
    <n v="10"/>
    <x v="0"/>
    <x v="1"/>
    <s v="-"/>
    <x v="0"/>
    <n v="20"/>
    <n v="10"/>
    <n v="20"/>
  </r>
  <r>
    <x v="247"/>
    <s v="João Pereira"/>
    <x v="1"/>
    <x v="246"/>
    <x v="0"/>
    <n v="5"/>
    <x v="1"/>
    <x v="1"/>
    <s v="-"/>
    <x v="1"/>
    <n v="0"/>
    <n v="0"/>
    <n v="5"/>
  </r>
  <r>
    <x v="248"/>
    <s v="Klara Silva"/>
    <x v="0"/>
    <x v="247"/>
    <x v="1"/>
    <n v="15"/>
    <x v="0"/>
    <x v="0"/>
    <n v="30"/>
    <x v="0"/>
    <n v="20"/>
    <n v="20"/>
    <n v="45"/>
  </r>
  <r>
    <x v="249"/>
    <s v="Luciana Barros"/>
    <x v="2"/>
    <x v="248"/>
    <x v="0"/>
    <n v="10"/>
    <x v="2"/>
    <x v="1"/>
    <s v="-"/>
    <x v="0"/>
    <n v="20"/>
    <n v="15"/>
    <n v="15"/>
  </r>
  <r>
    <x v="250"/>
    <s v="Marcos Gomes"/>
    <x v="1"/>
    <x v="249"/>
    <x v="1"/>
    <n v="5"/>
    <x v="0"/>
    <x v="1"/>
    <s v="-"/>
    <x v="1"/>
    <n v="0"/>
    <n v="1"/>
    <n v="4"/>
  </r>
  <r>
    <x v="251"/>
    <s v="Natália Soares"/>
    <x v="0"/>
    <x v="250"/>
    <x v="0"/>
    <n v="15"/>
    <x v="1"/>
    <x v="0"/>
    <n v="30"/>
    <x v="0"/>
    <n v="20"/>
    <n v="3"/>
    <n v="62"/>
  </r>
  <r>
    <x v="252"/>
    <s v="Oscar Machado"/>
    <x v="2"/>
    <x v="251"/>
    <x v="1"/>
    <n v="10"/>
    <x v="0"/>
    <x v="1"/>
    <s v="-"/>
    <x v="0"/>
    <n v="20"/>
    <n v="10"/>
    <n v="20"/>
  </r>
  <r>
    <x v="253"/>
    <s v="Patrícia Lima"/>
    <x v="1"/>
    <x v="252"/>
    <x v="0"/>
    <n v="5"/>
    <x v="2"/>
    <x v="1"/>
    <s v="-"/>
    <x v="1"/>
    <n v="0"/>
    <n v="0"/>
    <n v="5"/>
  </r>
  <r>
    <x v="254"/>
    <s v="Quirino Neto"/>
    <x v="0"/>
    <x v="253"/>
    <x v="1"/>
    <n v="15"/>
    <x v="0"/>
    <x v="0"/>
    <n v="30"/>
    <x v="0"/>
    <n v="20"/>
    <n v="15"/>
    <n v="50"/>
  </r>
  <r>
    <x v="255"/>
    <s v="Rafaela Souza"/>
    <x v="1"/>
    <x v="254"/>
    <x v="0"/>
    <n v="5"/>
    <x v="0"/>
    <x v="1"/>
    <s v="-"/>
    <x v="1"/>
    <n v="0"/>
    <n v="0"/>
    <n v="5"/>
  </r>
  <r>
    <x v="256"/>
    <s v="Sandro Almeida"/>
    <x v="0"/>
    <x v="255"/>
    <x v="1"/>
    <n v="15"/>
    <x v="2"/>
    <x v="0"/>
    <n v="30"/>
    <x v="0"/>
    <n v="20"/>
    <n v="7"/>
    <n v="58"/>
  </r>
  <r>
    <x v="257"/>
    <s v="Tânia Ribeiro"/>
    <x v="2"/>
    <x v="256"/>
    <x v="0"/>
    <n v="10"/>
    <x v="1"/>
    <x v="1"/>
    <s v="-"/>
    <x v="0"/>
    <n v="20"/>
    <n v="10"/>
    <n v="20"/>
  </r>
  <r>
    <x v="258"/>
    <s v="Ugo Dias"/>
    <x v="1"/>
    <x v="257"/>
    <x v="1"/>
    <n v="5"/>
    <x v="2"/>
    <x v="1"/>
    <s v="-"/>
    <x v="1"/>
    <n v="0"/>
    <n v="1"/>
    <n v="4"/>
  </r>
  <r>
    <x v="259"/>
    <s v="Valéria Lima"/>
    <x v="0"/>
    <x v="258"/>
    <x v="0"/>
    <n v="15"/>
    <x v="0"/>
    <x v="0"/>
    <n v="30"/>
    <x v="0"/>
    <n v="20"/>
    <n v="15"/>
    <n v="50"/>
  </r>
  <r>
    <x v="260"/>
    <s v="William Fernandes"/>
    <x v="2"/>
    <x v="259"/>
    <x v="1"/>
    <n v="10"/>
    <x v="0"/>
    <x v="1"/>
    <s v="-"/>
    <x v="0"/>
    <n v="20"/>
    <n v="5"/>
    <n v="25"/>
  </r>
  <r>
    <x v="261"/>
    <s v="Xuxa Mendes"/>
    <x v="1"/>
    <x v="260"/>
    <x v="0"/>
    <n v="5"/>
    <x v="1"/>
    <x v="1"/>
    <s v="-"/>
    <x v="1"/>
    <n v="0"/>
    <n v="0"/>
    <n v="5"/>
  </r>
  <r>
    <x v="262"/>
    <s v="Ygor Farias"/>
    <x v="0"/>
    <x v="261"/>
    <x v="1"/>
    <n v="15"/>
    <x v="2"/>
    <x v="0"/>
    <n v="30"/>
    <x v="0"/>
    <n v="20"/>
    <n v="20"/>
    <n v="45"/>
  </r>
  <r>
    <x v="263"/>
    <s v="Zilda Barros"/>
    <x v="2"/>
    <x v="262"/>
    <x v="0"/>
    <n v="10"/>
    <x v="2"/>
    <x v="1"/>
    <s v="-"/>
    <x v="0"/>
    <n v="20"/>
    <n v="12"/>
    <n v="18"/>
  </r>
  <r>
    <x v="264"/>
    <s v="Amanda Santos"/>
    <x v="1"/>
    <x v="263"/>
    <x v="1"/>
    <n v="5"/>
    <x v="0"/>
    <x v="1"/>
    <s v="-"/>
    <x v="1"/>
    <n v="0"/>
    <n v="2"/>
    <n v="3"/>
  </r>
  <r>
    <x v="265"/>
    <s v="Bruno Costa"/>
    <x v="0"/>
    <x v="264"/>
    <x v="0"/>
    <n v="15"/>
    <x v="1"/>
    <x v="0"/>
    <n v="30"/>
    <x v="0"/>
    <n v="20"/>
    <n v="5"/>
    <n v="60"/>
  </r>
  <r>
    <x v="266"/>
    <s v="Carla Rodrigues"/>
    <x v="2"/>
    <x v="265"/>
    <x v="1"/>
    <n v="10"/>
    <x v="0"/>
    <x v="1"/>
    <s v="-"/>
    <x v="0"/>
    <n v="20"/>
    <n v="10"/>
    <n v="20"/>
  </r>
  <r>
    <x v="267"/>
    <s v="Diogo Pereira"/>
    <x v="1"/>
    <x v="266"/>
    <x v="0"/>
    <n v="5"/>
    <x v="2"/>
    <x v="1"/>
    <s v="-"/>
    <x v="1"/>
    <n v="0"/>
    <n v="0"/>
    <n v="5"/>
  </r>
  <r>
    <x v="268"/>
    <s v="Elisa Correia"/>
    <x v="0"/>
    <x v="267"/>
    <x v="1"/>
    <n v="15"/>
    <x v="0"/>
    <x v="0"/>
    <n v="30"/>
    <x v="0"/>
    <n v="20"/>
    <n v="3"/>
    <n v="62"/>
  </r>
  <r>
    <x v="269"/>
    <s v="Fábio Lourenço"/>
    <x v="2"/>
    <x v="268"/>
    <x v="0"/>
    <n v="10"/>
    <x v="1"/>
    <x v="1"/>
    <s v="-"/>
    <x v="0"/>
    <n v="20"/>
    <n v="15"/>
    <n v="15"/>
  </r>
  <r>
    <x v="270"/>
    <s v="Gabriela Neves"/>
    <x v="1"/>
    <x v="269"/>
    <x v="1"/>
    <n v="5"/>
    <x v="0"/>
    <x v="1"/>
    <s v="-"/>
    <x v="1"/>
    <n v="0"/>
    <n v="1"/>
    <n v="4"/>
  </r>
  <r>
    <x v="271"/>
    <s v="Henrique Gonçalves"/>
    <x v="0"/>
    <x v="270"/>
    <x v="0"/>
    <n v="15"/>
    <x v="2"/>
    <x v="0"/>
    <n v="30"/>
    <x v="0"/>
    <n v="20"/>
    <n v="7"/>
    <n v="58"/>
  </r>
  <r>
    <x v="272"/>
    <s v="Íris Santos"/>
    <x v="2"/>
    <x v="271"/>
    <x v="1"/>
    <n v="10"/>
    <x v="0"/>
    <x v="1"/>
    <s v="-"/>
    <x v="0"/>
    <n v="20"/>
    <n v="10"/>
    <n v="20"/>
  </r>
  <r>
    <x v="273"/>
    <s v="João Marcelo Alves"/>
    <x v="1"/>
    <x v="272"/>
    <x v="0"/>
    <n v="5"/>
    <x v="1"/>
    <x v="1"/>
    <s v="-"/>
    <x v="1"/>
    <n v="0"/>
    <n v="0"/>
    <n v="5"/>
  </r>
  <r>
    <x v="274"/>
    <s v="Klara Fonseca"/>
    <x v="0"/>
    <x v="273"/>
    <x v="1"/>
    <n v="15"/>
    <x v="0"/>
    <x v="0"/>
    <n v="30"/>
    <x v="0"/>
    <n v="20"/>
    <n v="20"/>
    <n v="45"/>
  </r>
  <r>
    <x v="275"/>
    <s v="Lucas Mendonça"/>
    <x v="2"/>
    <x v="274"/>
    <x v="0"/>
    <n v="10"/>
    <x v="2"/>
    <x v="1"/>
    <s v="-"/>
    <x v="0"/>
    <n v="20"/>
    <n v="15"/>
    <n v="15"/>
  </r>
  <r>
    <x v="276"/>
    <s v="Marcela Torres"/>
    <x v="1"/>
    <x v="275"/>
    <x v="1"/>
    <n v="5"/>
    <x v="0"/>
    <x v="1"/>
    <s v="-"/>
    <x v="1"/>
    <n v="0"/>
    <n v="1"/>
    <n v="4"/>
  </r>
  <r>
    <x v="277"/>
    <s v="Natália Castro"/>
    <x v="0"/>
    <x v="276"/>
    <x v="0"/>
    <n v="15"/>
    <x v="1"/>
    <x v="0"/>
    <n v="30"/>
    <x v="0"/>
    <n v="20"/>
    <n v="3"/>
    <n v="62"/>
  </r>
  <r>
    <x v="278"/>
    <s v="Oscar Martins"/>
    <x v="2"/>
    <x v="277"/>
    <x v="1"/>
    <n v="10"/>
    <x v="0"/>
    <x v="1"/>
    <s v="-"/>
    <x v="0"/>
    <n v="20"/>
    <n v="10"/>
    <n v="20"/>
  </r>
  <r>
    <x v="279"/>
    <s v="Patrícia Oliveira"/>
    <x v="1"/>
    <x v="278"/>
    <x v="0"/>
    <n v="5"/>
    <x v="2"/>
    <x v="1"/>
    <s v="-"/>
    <x v="1"/>
    <n v="0"/>
    <n v="0"/>
    <n v="5"/>
  </r>
  <r>
    <x v="280"/>
    <s v="Quentin Nogueira"/>
    <x v="0"/>
    <x v="279"/>
    <x v="1"/>
    <n v="15"/>
    <x v="0"/>
    <x v="0"/>
    <n v="30"/>
    <x v="0"/>
    <n v="20"/>
    <n v="15"/>
    <n v="50"/>
  </r>
  <r>
    <x v="281"/>
    <s v="Raquel Silva"/>
    <x v="2"/>
    <x v="280"/>
    <x v="0"/>
    <n v="10"/>
    <x v="1"/>
    <x v="1"/>
    <s v="-"/>
    <x v="0"/>
    <n v="20"/>
    <n v="15"/>
    <n v="15"/>
  </r>
  <r>
    <x v="282"/>
    <s v="Sandro Gomes"/>
    <x v="1"/>
    <x v="281"/>
    <x v="1"/>
    <n v="5"/>
    <x v="0"/>
    <x v="1"/>
    <s v="-"/>
    <x v="1"/>
    <n v="0"/>
    <n v="1"/>
    <n v="4"/>
  </r>
  <r>
    <x v="283"/>
    <s v="Tânia Machado"/>
    <x v="0"/>
    <x v="282"/>
    <x v="0"/>
    <n v="15"/>
    <x v="2"/>
    <x v="0"/>
    <n v="30"/>
    <x v="0"/>
    <n v="20"/>
    <n v="7"/>
    <n v="58"/>
  </r>
  <r>
    <x v="284"/>
    <s v="Ursula Silva"/>
    <x v="2"/>
    <x v="283"/>
    <x v="1"/>
    <n v="10"/>
    <x v="0"/>
    <x v="1"/>
    <s v="-"/>
    <x v="0"/>
    <n v="20"/>
    <n v="10"/>
    <n v="20"/>
  </r>
  <r>
    <x v="285"/>
    <s v="Vanessa Moraes"/>
    <x v="1"/>
    <x v="284"/>
    <x v="0"/>
    <n v="5"/>
    <x v="1"/>
    <x v="1"/>
    <s v="-"/>
    <x v="1"/>
    <n v="0"/>
    <n v="0"/>
    <n v="5"/>
  </r>
  <r>
    <x v="286"/>
    <s v="William Carvalho"/>
    <x v="0"/>
    <x v="285"/>
    <x v="1"/>
    <n v="15"/>
    <x v="0"/>
    <x v="0"/>
    <n v="30"/>
    <x v="0"/>
    <n v="20"/>
    <n v="20"/>
    <n v="45"/>
  </r>
  <r>
    <x v="287"/>
    <s v="Xavier Reis"/>
    <x v="2"/>
    <x v="286"/>
    <x v="0"/>
    <n v="10"/>
    <x v="2"/>
    <x v="1"/>
    <s v="-"/>
    <x v="0"/>
    <n v="20"/>
    <n v="12"/>
    <n v="18"/>
  </r>
  <r>
    <x v="288"/>
    <s v="Yasmin Rocha"/>
    <x v="1"/>
    <x v="287"/>
    <x v="1"/>
    <n v="5"/>
    <x v="0"/>
    <x v="1"/>
    <s v="-"/>
    <x v="1"/>
    <n v="0"/>
    <n v="2"/>
    <n v="3"/>
  </r>
  <r>
    <x v="289"/>
    <s v="Zacarias Duarte"/>
    <x v="0"/>
    <x v="288"/>
    <x v="0"/>
    <n v="15"/>
    <x v="1"/>
    <x v="0"/>
    <n v="30"/>
    <x v="0"/>
    <n v="20"/>
    <n v="5"/>
    <n v="60"/>
  </r>
  <r>
    <x v="290"/>
    <s v="Amanda Freitas"/>
    <x v="2"/>
    <x v="289"/>
    <x v="1"/>
    <n v="10"/>
    <x v="0"/>
    <x v="1"/>
    <s v="-"/>
    <x v="0"/>
    <n v="20"/>
    <n v="10"/>
    <n v="20"/>
  </r>
  <r>
    <x v="291"/>
    <s v="Bruno Almeida"/>
    <x v="1"/>
    <x v="290"/>
    <x v="0"/>
    <n v="5"/>
    <x v="2"/>
    <x v="1"/>
    <s v="-"/>
    <x v="1"/>
    <n v="0"/>
    <n v="0"/>
    <n v="5"/>
  </r>
  <r>
    <x v="292"/>
    <s v="Carla Siqueira"/>
    <x v="0"/>
    <x v="291"/>
    <x v="1"/>
    <n v="15"/>
    <x v="0"/>
    <x v="0"/>
    <n v="30"/>
    <x v="0"/>
    <n v="20"/>
    <n v="3"/>
    <n v="62"/>
  </r>
  <r>
    <x v="293"/>
    <s v="Diogo Ramos"/>
    <x v="2"/>
    <x v="292"/>
    <x v="0"/>
    <n v="10"/>
    <x v="1"/>
    <x v="1"/>
    <s v="-"/>
    <x v="0"/>
    <n v="20"/>
    <n v="15"/>
    <n v="15"/>
  </r>
  <r>
    <x v="294"/>
    <s v="Elisa Magalhães"/>
    <x v="1"/>
    <x v="293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D2F84-AB81-40FD-B6E9-89431E92E116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0:B53" firstHeaderRow="1" firstDataRow="1" firstDataCol="1"/>
  <pivotFields count="15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ntagem de Minecraft Season Pass" fld="9" subtotal="count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FD3E2-026A-4EB7-8D18-F12C09CF6E53}" name="tbl_dn_plan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2:B26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520EF-CA13-4AC1-8DE6-92623862E684}" name="Tabela dinâmica9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3:B16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4" baseItem="0" numFmtId="44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B0E7F-CC23-401D-B93C-DCB14A89FCF1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57:B70" firstHeaderRow="1" firstDataRow="1" firstDataCol="1"/>
  <pivotFields count="15">
    <pivotField showAll="0"/>
    <pivotField showAll="0"/>
    <pivotField showAll="0"/>
    <pivotField axis="axisRow" numFmtId="14" showAll="0" includeNewItemsInFilter="1" countASubtotal="1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countA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14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formats count="12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4" type="button" dataOnly="0" labelOnly="1" outline="0" axis="axisRow" fieldPosition="0"/>
    </format>
    <format dxfId="38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4" type="button" dataOnly="0" labelOnly="1" outline="0" axis="axisRow" fieldPosition="0"/>
    </format>
    <format dxfId="32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36A69-3F67-4788-9C2C-4B6654883023}" name="Tabela dinâmica1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2:B46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formats count="12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2" type="button" dataOnly="0" labelOnly="1" outline="0" axis="axisRow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2" type="button" dataOnly="0" labelOnly="1" outline="0" axis="axisRow" fieldPosition="0"/>
    </format>
    <format dxfId="44">
      <pivotArea dataOnly="0" labelOnly="1" fieldPosition="0">
        <references count="1">
          <reference field="2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EFD76-C81F-47E3-BAA5-C44AD50C25B8}" name="Tabela dinâmica1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2:B36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12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2" type="button" dataOnly="0" labelOnly="1" outline="0" axis="axisRow" fieldPosition="0"/>
    </format>
    <format dxfId="56">
      <pivotArea dataOnly="0" labelOnly="1" fieldPosition="0">
        <references count="1">
          <reference field="2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8D042-20BE-47D6-BAAE-22FA9C94ABA0}" name="tbl_dn_subs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B9" firstHeaderRow="1" firstDataRow="1" firstDataCol="1"/>
  <pivotFields count="15">
    <pivotField dataField="1"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4" baseItem="0"/>
  </dataFields>
  <formats count="6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4" type="button" dataOnly="0" labelOnly="1" outline="0" axis="axisRow" fieldPosition="0"/>
    </format>
    <format dxfId="68">
      <pivotArea dataOnly="0" labelOnly="1" fieldPosition="0">
        <references count="1">
          <reference field="4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726F51F-9A95-4450-A81C-4B4BB5218B2E}" sourceName="Subscription Type">
  <pivotTables>
    <pivotTable tabId="3" name="tbl_dn_plan"/>
    <pivotTable tabId="3" name="Tabela dinâmica16"/>
    <pivotTable tabId="3" name="Tabela dinâmica17"/>
  </pivotTables>
  <data>
    <tabular pivotCacheId="1301444295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17C7D4C8-D5E2-4612-B4AD-35383A969AFB}" sourceName="Auto Renewal">
  <pivotTables>
    <pivotTable tabId="3" name="Tabela dinâmica9"/>
  </pivotTables>
  <data>
    <tabular pivotCacheId="1301444295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7D438AF-095C-441C-8412-662DE2323BAC}" cache="SegmentaçãodeDados_Subscription_Type" caption="Subscription Type" style="SlicerStyleLight6 2" rowHeight="540000"/>
  <slicer name="Auto Renewal" xr10:uid="{475BD694-F794-4EFA-B198-54C237AF3D96}" cache="SegmentaçãodeDados_Auto_Renewal" caption="Auto Renewal" style="SlicerStyleLight6 2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85">
  <autoFilter ref="A1:M296" xr:uid="{34E0E886-4200-4B36-97B3-63DB74FF40A0}"/>
  <tableColumns count="13">
    <tableColumn id="1" xr3:uid="{C4A90516-688A-46BF-9167-EA16C2A8A652}" name="Subscriber ID" dataDxfId="84"/>
    <tableColumn id="2" xr3:uid="{53DD39D0-2220-4121-9E9D-4EAA7E151C0F}" name="Name" dataDxfId="83"/>
    <tableColumn id="3" xr3:uid="{4F5FF271-4C57-4BE0-8F2C-F82C8551625C}" name="Plan" dataDxfId="82"/>
    <tableColumn id="4" xr3:uid="{8C17EB93-79B9-4E55-B8F7-BEB82F8253E9}" name="Start Date" dataDxfId="81"/>
    <tableColumn id="5" xr3:uid="{48CEDF9B-1689-482A-A828-5CCE7713264A}" name="Auto Renewal" dataDxfId="80"/>
    <tableColumn id="6" xr3:uid="{78B82374-9AA7-4E38-AE4F-78CDE6C83720}" name="Subscription Price" dataDxfId="79" dataCellStyle="Moeda"/>
    <tableColumn id="7" xr3:uid="{F2433F68-AF33-49D0-B1FB-19A396074EDE}" name="Subscription Type" dataDxfId="78"/>
    <tableColumn id="8" xr3:uid="{FD4D9C95-F6E5-4933-9068-A71FF7DF9343}" name="EA Play Season Pass" dataDxfId="77"/>
    <tableColumn id="13" xr3:uid="{978DD0D2-834E-4CE4-A39B-30976086932F}" name="EA Play Season Pass_x000a_Price" dataDxfId="76" dataCellStyle="Moeda"/>
    <tableColumn id="9" xr3:uid="{6E29F111-C395-4580-9DAD-3407D9E8B1A4}" name="Minecraft Season Pass" dataDxfId="75"/>
    <tableColumn id="10" xr3:uid="{EF544EAA-7F25-4FD5-A10E-8E62804DB9E3}" name="Minecraft Season Pass Price" dataDxfId="74" dataCellStyle="Moeda"/>
    <tableColumn id="11" xr3:uid="{7F6EB64A-1F07-4E48-9F0F-AC7D9DCD26F8}" name="Coupon Value" dataDxfId="73" dataCellStyle="Moeda"/>
    <tableColumn id="12" xr3:uid="{2B04ABC8-DE6F-426E-ADC0-D8AFC68CA58E}" name="Total Value" dataDxfId="7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340</v>
      </c>
      <c r="C5" t="s">
        <v>4</v>
      </c>
      <c r="E5" s="7" t="s">
        <v>2</v>
      </c>
      <c r="F5" t="s">
        <v>3</v>
      </c>
    </row>
    <row r="6" spans="2:16" x14ac:dyDescent="0.3">
      <c r="B6" s="4" t="s">
        <v>339</v>
      </c>
      <c r="C6" t="s">
        <v>4</v>
      </c>
    </row>
    <row r="7" spans="2:16" x14ac:dyDescent="0.3">
      <c r="B7" s="5" t="s">
        <v>337</v>
      </c>
      <c r="C7" t="s">
        <v>5</v>
      </c>
    </row>
    <row r="8" spans="2:16" x14ac:dyDescent="0.3">
      <c r="B8" s="6" t="s">
        <v>338</v>
      </c>
      <c r="C8" t="s">
        <v>5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6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80" zoomScaleNormal="80" workbookViewId="0">
      <selection activeCell="B6" sqref="B6"/>
    </sheetView>
  </sheetViews>
  <sheetFormatPr defaultColWidth="9.77734375" defaultRowHeight="14.4" x14ac:dyDescent="0.3"/>
  <cols>
    <col min="1" max="1" width="16.6640625" bestFit="1" customWidth="1"/>
    <col min="2" max="2" width="18.33203125" bestFit="1" customWidth="1"/>
    <col min="3" max="3" width="10.21875" style="24" bestFit="1" customWidth="1"/>
    <col min="4" max="4" width="15.21875" bestFit="1" customWidth="1"/>
    <col min="5" max="5" width="18.5546875" bestFit="1" customWidth="1"/>
    <col min="6" max="6" width="22.77734375" style="21" bestFit="1" customWidth="1"/>
    <col min="7" max="7" width="22.44140625" style="21" bestFit="1" customWidth="1"/>
    <col min="8" max="8" width="19.6640625" style="14" bestFit="1" customWidth="1"/>
    <col min="9" max="9" width="24.33203125" style="14" bestFit="1" customWidth="1"/>
    <col min="10" max="10" width="21.77734375" style="18" bestFit="1" customWidth="1"/>
    <col min="11" max="11" width="28.88671875" style="18" bestFit="1" customWidth="1"/>
    <col min="12" max="12" width="18.88671875" bestFit="1" customWidth="1"/>
    <col min="13" max="13" width="16.109375" bestFit="1" customWidth="1"/>
  </cols>
  <sheetData>
    <row r="1" spans="1:13" ht="28.8" x14ac:dyDescent="0.3">
      <c r="A1" s="9" t="s">
        <v>7</v>
      </c>
      <c r="B1" s="9" t="s">
        <v>8</v>
      </c>
      <c r="C1" s="22" t="s">
        <v>9</v>
      </c>
      <c r="D1" s="9" t="s">
        <v>10</v>
      </c>
      <c r="E1" s="9" t="s">
        <v>11</v>
      </c>
      <c r="F1" s="25" t="s">
        <v>308</v>
      </c>
      <c r="G1" s="25" t="s">
        <v>12</v>
      </c>
      <c r="H1" s="26" t="s">
        <v>305</v>
      </c>
      <c r="I1" s="26" t="s">
        <v>306</v>
      </c>
      <c r="J1" s="27" t="s">
        <v>26</v>
      </c>
      <c r="K1" s="27" t="s">
        <v>27</v>
      </c>
      <c r="L1" s="9" t="s">
        <v>28</v>
      </c>
      <c r="M1" s="9" t="s">
        <v>29</v>
      </c>
    </row>
    <row r="2" spans="1:13" ht="16.5" customHeight="1" x14ac:dyDescent="0.3">
      <c r="A2" s="8">
        <v>3231</v>
      </c>
      <c r="B2" s="8" t="s">
        <v>13</v>
      </c>
      <c r="C2" s="23" t="s">
        <v>14</v>
      </c>
      <c r="D2" s="10">
        <v>45292</v>
      </c>
      <c r="E2" s="8" t="s">
        <v>15</v>
      </c>
      <c r="F2" s="19">
        <v>15</v>
      </c>
      <c r="G2" s="20" t="s">
        <v>16</v>
      </c>
      <c r="H2" s="13" t="s">
        <v>15</v>
      </c>
      <c r="I2" s="15">
        <v>30</v>
      </c>
      <c r="J2" s="16" t="s">
        <v>15</v>
      </c>
      <c r="K2" s="17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17</v>
      </c>
      <c r="C3" s="23" t="s">
        <v>18</v>
      </c>
      <c r="D3" s="10">
        <v>45306</v>
      </c>
      <c r="E3" s="8" t="s">
        <v>19</v>
      </c>
      <c r="F3" s="19">
        <v>5</v>
      </c>
      <c r="G3" s="20" t="s">
        <v>20</v>
      </c>
      <c r="H3" s="13" t="s">
        <v>19</v>
      </c>
      <c r="I3" s="15" t="s">
        <v>307</v>
      </c>
      <c r="J3" s="16" t="s">
        <v>19</v>
      </c>
      <c r="K3" s="17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21</v>
      </c>
      <c r="C4" s="23" t="s">
        <v>22</v>
      </c>
      <c r="D4" s="10">
        <v>45332</v>
      </c>
      <c r="E4" s="8" t="s">
        <v>15</v>
      </c>
      <c r="F4" s="19">
        <v>10</v>
      </c>
      <c r="G4" s="20" t="s">
        <v>23</v>
      </c>
      <c r="H4" s="13" t="s">
        <v>19</v>
      </c>
      <c r="I4" s="15" t="s">
        <v>307</v>
      </c>
      <c r="J4" s="16" t="s">
        <v>15</v>
      </c>
      <c r="K4" s="17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24</v>
      </c>
      <c r="C5" s="23" t="s">
        <v>14</v>
      </c>
      <c r="D5" s="10">
        <v>45342</v>
      </c>
      <c r="E5" s="8" t="s">
        <v>19</v>
      </c>
      <c r="F5" s="19">
        <v>15</v>
      </c>
      <c r="G5" s="20" t="s">
        <v>16</v>
      </c>
      <c r="H5" s="13" t="s">
        <v>15</v>
      </c>
      <c r="I5" s="15">
        <v>30</v>
      </c>
      <c r="J5" s="16" t="s">
        <v>15</v>
      </c>
      <c r="K5" s="17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25</v>
      </c>
      <c r="C6" s="23" t="s">
        <v>18</v>
      </c>
      <c r="D6" s="10">
        <v>45356</v>
      </c>
      <c r="E6" s="8" t="s">
        <v>15</v>
      </c>
      <c r="F6" s="19">
        <v>5</v>
      </c>
      <c r="G6" s="20" t="s">
        <v>16</v>
      </c>
      <c r="H6" s="13" t="s">
        <v>19</v>
      </c>
      <c r="I6" s="15" t="s">
        <v>307</v>
      </c>
      <c r="J6" s="16" t="s">
        <v>19</v>
      </c>
      <c r="K6" s="17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30</v>
      </c>
      <c r="C7" s="23" t="s">
        <v>22</v>
      </c>
      <c r="D7" s="10">
        <v>45353</v>
      </c>
      <c r="E7" s="8" t="s">
        <v>19</v>
      </c>
      <c r="F7" s="19">
        <v>10</v>
      </c>
      <c r="G7" s="20" t="s">
        <v>16</v>
      </c>
      <c r="H7" s="13" t="s">
        <v>19</v>
      </c>
      <c r="I7" s="15" t="s">
        <v>307</v>
      </c>
      <c r="J7" s="16" t="s">
        <v>15</v>
      </c>
      <c r="K7" s="17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31</v>
      </c>
      <c r="C8" s="23" t="s">
        <v>14</v>
      </c>
      <c r="D8" s="10">
        <v>45354</v>
      </c>
      <c r="E8" s="8" t="s">
        <v>15</v>
      </c>
      <c r="F8" s="19">
        <v>15</v>
      </c>
      <c r="G8" s="20" t="s">
        <v>23</v>
      </c>
      <c r="H8" s="13" t="s">
        <v>15</v>
      </c>
      <c r="I8" s="15">
        <v>30</v>
      </c>
      <c r="J8" s="16" t="s">
        <v>15</v>
      </c>
      <c r="K8" s="17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32</v>
      </c>
      <c r="C9" s="23" t="s">
        <v>18</v>
      </c>
      <c r="D9" s="10">
        <v>45355</v>
      </c>
      <c r="E9" s="8" t="s">
        <v>15</v>
      </c>
      <c r="F9" s="19">
        <v>5</v>
      </c>
      <c r="G9" s="20" t="s">
        <v>20</v>
      </c>
      <c r="H9" s="13" t="s">
        <v>19</v>
      </c>
      <c r="I9" s="15" t="s">
        <v>307</v>
      </c>
      <c r="J9" s="16" t="s">
        <v>19</v>
      </c>
      <c r="K9" s="17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33</v>
      </c>
      <c r="C10" s="23" t="s">
        <v>14</v>
      </c>
      <c r="D10" s="10">
        <v>45356</v>
      </c>
      <c r="E10" s="8" t="s">
        <v>19</v>
      </c>
      <c r="F10" s="19">
        <v>15</v>
      </c>
      <c r="G10" s="20" t="s">
        <v>16</v>
      </c>
      <c r="H10" s="13" t="s">
        <v>15</v>
      </c>
      <c r="I10" s="15">
        <v>30</v>
      </c>
      <c r="J10" s="16" t="s">
        <v>15</v>
      </c>
      <c r="K10" s="17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34</v>
      </c>
      <c r="C11" s="23" t="s">
        <v>22</v>
      </c>
      <c r="D11" s="10">
        <v>45357</v>
      </c>
      <c r="E11" s="8" t="s">
        <v>15</v>
      </c>
      <c r="F11" s="19">
        <v>10</v>
      </c>
      <c r="G11" s="20" t="s">
        <v>23</v>
      </c>
      <c r="H11" s="13" t="s">
        <v>19</v>
      </c>
      <c r="I11" s="15" t="s">
        <v>307</v>
      </c>
      <c r="J11" s="16" t="s">
        <v>15</v>
      </c>
      <c r="K11" s="17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35</v>
      </c>
      <c r="C12" s="23" t="s">
        <v>18</v>
      </c>
      <c r="D12" s="10">
        <v>45358</v>
      </c>
      <c r="E12" s="8" t="s">
        <v>19</v>
      </c>
      <c r="F12" s="19">
        <v>5</v>
      </c>
      <c r="G12" s="20" t="s">
        <v>16</v>
      </c>
      <c r="H12" s="13" t="s">
        <v>19</v>
      </c>
      <c r="I12" s="15" t="s">
        <v>307</v>
      </c>
      <c r="J12" s="16" t="s">
        <v>19</v>
      </c>
      <c r="K12" s="17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36</v>
      </c>
      <c r="C13" s="23" t="s">
        <v>14</v>
      </c>
      <c r="D13" s="10">
        <v>45359</v>
      </c>
      <c r="E13" s="8" t="s">
        <v>15</v>
      </c>
      <c r="F13" s="19">
        <v>15</v>
      </c>
      <c r="G13" s="20" t="s">
        <v>20</v>
      </c>
      <c r="H13" s="13" t="s">
        <v>15</v>
      </c>
      <c r="I13" s="15">
        <v>30</v>
      </c>
      <c r="J13" s="16" t="s">
        <v>15</v>
      </c>
      <c r="K13" s="17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37</v>
      </c>
      <c r="C14" s="23" t="s">
        <v>22</v>
      </c>
      <c r="D14" s="10">
        <v>45360</v>
      </c>
      <c r="E14" s="8" t="s">
        <v>19</v>
      </c>
      <c r="F14" s="19">
        <v>10</v>
      </c>
      <c r="G14" s="20" t="s">
        <v>16</v>
      </c>
      <c r="H14" s="13" t="s">
        <v>19</v>
      </c>
      <c r="I14" s="15" t="s">
        <v>307</v>
      </c>
      <c r="J14" s="16" t="s">
        <v>15</v>
      </c>
      <c r="K14" s="17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38</v>
      </c>
      <c r="C15" s="23" t="s">
        <v>18</v>
      </c>
      <c r="D15" s="10">
        <v>45361</v>
      </c>
      <c r="E15" s="8" t="s">
        <v>15</v>
      </c>
      <c r="F15" s="19">
        <v>5</v>
      </c>
      <c r="G15" s="20" t="s">
        <v>23</v>
      </c>
      <c r="H15" s="13" t="s">
        <v>19</v>
      </c>
      <c r="I15" s="15" t="s">
        <v>307</v>
      </c>
      <c r="J15" s="16" t="s">
        <v>19</v>
      </c>
      <c r="K15" s="17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39</v>
      </c>
      <c r="C16" s="23" t="s">
        <v>14</v>
      </c>
      <c r="D16" s="10">
        <v>45362</v>
      </c>
      <c r="E16" s="8" t="s">
        <v>19</v>
      </c>
      <c r="F16" s="19">
        <v>15</v>
      </c>
      <c r="G16" s="20" t="s">
        <v>16</v>
      </c>
      <c r="H16" s="13" t="s">
        <v>15</v>
      </c>
      <c r="I16" s="15">
        <v>30</v>
      </c>
      <c r="J16" s="16" t="s">
        <v>15</v>
      </c>
      <c r="K16" s="17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40</v>
      </c>
      <c r="C17" s="23" t="s">
        <v>22</v>
      </c>
      <c r="D17" s="10">
        <v>45363</v>
      </c>
      <c r="E17" s="8" t="s">
        <v>15</v>
      </c>
      <c r="F17" s="19">
        <v>10</v>
      </c>
      <c r="G17" s="20" t="s">
        <v>20</v>
      </c>
      <c r="H17" s="13" t="s">
        <v>19</v>
      </c>
      <c r="I17" s="15" t="s">
        <v>307</v>
      </c>
      <c r="J17" s="16" t="s">
        <v>15</v>
      </c>
      <c r="K17" s="17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41</v>
      </c>
      <c r="C18" s="23" t="s">
        <v>18</v>
      </c>
      <c r="D18" s="10">
        <v>45364</v>
      </c>
      <c r="E18" s="8" t="s">
        <v>19</v>
      </c>
      <c r="F18" s="19">
        <v>5</v>
      </c>
      <c r="G18" s="20" t="s">
        <v>16</v>
      </c>
      <c r="H18" s="13" t="s">
        <v>19</v>
      </c>
      <c r="I18" s="15" t="s">
        <v>307</v>
      </c>
      <c r="J18" s="16" t="s">
        <v>19</v>
      </c>
      <c r="K18" s="17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42</v>
      </c>
      <c r="C19" s="23" t="s">
        <v>14</v>
      </c>
      <c r="D19" s="10">
        <v>45365</v>
      </c>
      <c r="E19" s="8" t="s">
        <v>15</v>
      </c>
      <c r="F19" s="19">
        <v>15</v>
      </c>
      <c r="G19" s="20" t="s">
        <v>23</v>
      </c>
      <c r="H19" s="13" t="s">
        <v>15</v>
      </c>
      <c r="I19" s="15">
        <v>30</v>
      </c>
      <c r="J19" s="16" t="s">
        <v>15</v>
      </c>
      <c r="K19" s="17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43</v>
      </c>
      <c r="C20" s="23" t="s">
        <v>22</v>
      </c>
      <c r="D20" s="10">
        <v>45366</v>
      </c>
      <c r="E20" s="8" t="s">
        <v>19</v>
      </c>
      <c r="F20" s="19">
        <v>10</v>
      </c>
      <c r="G20" s="20" t="s">
        <v>16</v>
      </c>
      <c r="H20" s="13" t="s">
        <v>19</v>
      </c>
      <c r="I20" s="15" t="s">
        <v>307</v>
      </c>
      <c r="J20" s="16" t="s">
        <v>15</v>
      </c>
      <c r="K20" s="17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44</v>
      </c>
      <c r="C21" s="23" t="s">
        <v>18</v>
      </c>
      <c r="D21" s="10">
        <v>45367</v>
      </c>
      <c r="E21" s="8" t="s">
        <v>15</v>
      </c>
      <c r="F21" s="19">
        <v>5</v>
      </c>
      <c r="G21" s="20" t="s">
        <v>20</v>
      </c>
      <c r="H21" s="13" t="s">
        <v>19</v>
      </c>
      <c r="I21" s="15" t="s">
        <v>307</v>
      </c>
      <c r="J21" s="16" t="s">
        <v>19</v>
      </c>
      <c r="K21" s="17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45</v>
      </c>
      <c r="C22" s="23" t="s">
        <v>14</v>
      </c>
      <c r="D22" s="10">
        <v>45368</v>
      </c>
      <c r="E22" s="8" t="s">
        <v>19</v>
      </c>
      <c r="F22" s="19">
        <v>15</v>
      </c>
      <c r="G22" s="20" t="s">
        <v>16</v>
      </c>
      <c r="H22" s="13" t="s">
        <v>15</v>
      </c>
      <c r="I22" s="15">
        <v>30</v>
      </c>
      <c r="J22" s="16" t="s">
        <v>15</v>
      </c>
      <c r="K22" s="17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46</v>
      </c>
      <c r="C23" s="23" t="s">
        <v>22</v>
      </c>
      <c r="D23" s="10">
        <v>45369</v>
      </c>
      <c r="E23" s="8" t="s">
        <v>15</v>
      </c>
      <c r="F23" s="19">
        <v>10</v>
      </c>
      <c r="G23" s="20" t="s">
        <v>23</v>
      </c>
      <c r="H23" s="13" t="s">
        <v>19</v>
      </c>
      <c r="I23" s="15" t="s">
        <v>307</v>
      </c>
      <c r="J23" s="16" t="s">
        <v>15</v>
      </c>
      <c r="K23" s="17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47</v>
      </c>
      <c r="C24" s="23" t="s">
        <v>18</v>
      </c>
      <c r="D24" s="10">
        <v>45370</v>
      </c>
      <c r="E24" s="8" t="s">
        <v>19</v>
      </c>
      <c r="F24" s="19">
        <v>5</v>
      </c>
      <c r="G24" s="20" t="s">
        <v>16</v>
      </c>
      <c r="H24" s="13" t="s">
        <v>19</v>
      </c>
      <c r="I24" s="15" t="s">
        <v>307</v>
      </c>
      <c r="J24" s="16" t="s">
        <v>19</v>
      </c>
      <c r="K24" s="17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48</v>
      </c>
      <c r="C25" s="23" t="s">
        <v>14</v>
      </c>
      <c r="D25" s="10">
        <v>45371</v>
      </c>
      <c r="E25" s="8" t="s">
        <v>15</v>
      </c>
      <c r="F25" s="19">
        <v>15</v>
      </c>
      <c r="G25" s="20" t="s">
        <v>20</v>
      </c>
      <c r="H25" s="13" t="s">
        <v>15</v>
      </c>
      <c r="I25" s="15">
        <v>30</v>
      </c>
      <c r="J25" s="16" t="s">
        <v>15</v>
      </c>
      <c r="K25" s="17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49</v>
      </c>
      <c r="C26" s="23" t="s">
        <v>22</v>
      </c>
      <c r="D26" s="10">
        <v>45372</v>
      </c>
      <c r="E26" s="8" t="s">
        <v>19</v>
      </c>
      <c r="F26" s="19">
        <v>10</v>
      </c>
      <c r="G26" s="20" t="s">
        <v>16</v>
      </c>
      <c r="H26" s="13" t="s">
        <v>19</v>
      </c>
      <c r="I26" s="15" t="s">
        <v>307</v>
      </c>
      <c r="J26" s="16" t="s">
        <v>15</v>
      </c>
      <c r="K26" s="17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50</v>
      </c>
      <c r="C27" s="23" t="s">
        <v>18</v>
      </c>
      <c r="D27" s="10">
        <v>45373</v>
      </c>
      <c r="E27" s="8" t="s">
        <v>15</v>
      </c>
      <c r="F27" s="19">
        <v>5</v>
      </c>
      <c r="G27" s="20" t="s">
        <v>23</v>
      </c>
      <c r="H27" s="13" t="s">
        <v>19</v>
      </c>
      <c r="I27" s="15" t="s">
        <v>307</v>
      </c>
      <c r="J27" s="16" t="s">
        <v>19</v>
      </c>
      <c r="K27" s="17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51</v>
      </c>
      <c r="C28" s="23" t="s">
        <v>14</v>
      </c>
      <c r="D28" s="10">
        <v>45374</v>
      </c>
      <c r="E28" s="8" t="s">
        <v>19</v>
      </c>
      <c r="F28" s="19">
        <v>15</v>
      </c>
      <c r="G28" s="20" t="s">
        <v>16</v>
      </c>
      <c r="H28" s="13" t="s">
        <v>15</v>
      </c>
      <c r="I28" s="15">
        <v>30</v>
      </c>
      <c r="J28" s="16" t="s">
        <v>15</v>
      </c>
      <c r="K28" s="17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52</v>
      </c>
      <c r="C29" s="23" t="s">
        <v>22</v>
      </c>
      <c r="D29" s="10">
        <v>45375</v>
      </c>
      <c r="E29" s="8" t="s">
        <v>15</v>
      </c>
      <c r="F29" s="19">
        <v>10</v>
      </c>
      <c r="G29" s="20" t="s">
        <v>20</v>
      </c>
      <c r="H29" s="13" t="s">
        <v>19</v>
      </c>
      <c r="I29" s="15" t="s">
        <v>307</v>
      </c>
      <c r="J29" s="16" t="s">
        <v>15</v>
      </c>
      <c r="K29" s="17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53</v>
      </c>
      <c r="C30" s="23" t="s">
        <v>18</v>
      </c>
      <c r="D30" s="10">
        <v>45376</v>
      </c>
      <c r="E30" s="8" t="s">
        <v>19</v>
      </c>
      <c r="F30" s="19">
        <v>5</v>
      </c>
      <c r="G30" s="20" t="s">
        <v>16</v>
      </c>
      <c r="H30" s="13" t="s">
        <v>19</v>
      </c>
      <c r="I30" s="15" t="s">
        <v>307</v>
      </c>
      <c r="J30" s="16" t="s">
        <v>19</v>
      </c>
      <c r="K30" s="17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54</v>
      </c>
      <c r="C31" s="23" t="s">
        <v>14</v>
      </c>
      <c r="D31" s="10">
        <v>45377</v>
      </c>
      <c r="E31" s="8" t="s">
        <v>15</v>
      </c>
      <c r="F31" s="19">
        <v>15</v>
      </c>
      <c r="G31" s="20" t="s">
        <v>23</v>
      </c>
      <c r="H31" s="13" t="s">
        <v>15</v>
      </c>
      <c r="I31" s="15">
        <v>30</v>
      </c>
      <c r="J31" s="16" t="s">
        <v>15</v>
      </c>
      <c r="K31" s="17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55</v>
      </c>
      <c r="C32" s="23" t="s">
        <v>22</v>
      </c>
      <c r="D32" s="10">
        <v>45378</v>
      </c>
      <c r="E32" s="8" t="s">
        <v>19</v>
      </c>
      <c r="F32" s="19">
        <v>10</v>
      </c>
      <c r="G32" s="20" t="s">
        <v>16</v>
      </c>
      <c r="H32" s="13" t="s">
        <v>19</v>
      </c>
      <c r="I32" s="15" t="s">
        <v>307</v>
      </c>
      <c r="J32" s="16" t="s">
        <v>15</v>
      </c>
      <c r="K32" s="17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56</v>
      </c>
      <c r="C33" s="23" t="s">
        <v>18</v>
      </c>
      <c r="D33" s="10">
        <v>45379</v>
      </c>
      <c r="E33" s="8" t="s">
        <v>15</v>
      </c>
      <c r="F33" s="19">
        <v>5</v>
      </c>
      <c r="G33" s="20" t="s">
        <v>20</v>
      </c>
      <c r="H33" s="13" t="s">
        <v>19</v>
      </c>
      <c r="I33" s="15" t="s">
        <v>307</v>
      </c>
      <c r="J33" s="16" t="s">
        <v>19</v>
      </c>
      <c r="K33" s="17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57</v>
      </c>
      <c r="C34" s="23" t="s">
        <v>14</v>
      </c>
      <c r="D34" s="10">
        <v>45380</v>
      </c>
      <c r="E34" s="8" t="s">
        <v>19</v>
      </c>
      <c r="F34" s="19">
        <v>15</v>
      </c>
      <c r="G34" s="20" t="s">
        <v>16</v>
      </c>
      <c r="H34" s="13" t="s">
        <v>15</v>
      </c>
      <c r="I34" s="15">
        <v>30</v>
      </c>
      <c r="J34" s="16" t="s">
        <v>15</v>
      </c>
      <c r="K34" s="17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58</v>
      </c>
      <c r="C35" s="23" t="s">
        <v>22</v>
      </c>
      <c r="D35" s="10">
        <v>45381</v>
      </c>
      <c r="E35" s="8" t="s">
        <v>15</v>
      </c>
      <c r="F35" s="19">
        <v>10</v>
      </c>
      <c r="G35" s="20" t="s">
        <v>23</v>
      </c>
      <c r="H35" s="13" t="s">
        <v>19</v>
      </c>
      <c r="I35" s="15" t="s">
        <v>307</v>
      </c>
      <c r="J35" s="16" t="s">
        <v>15</v>
      </c>
      <c r="K35" s="17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59</v>
      </c>
      <c r="C36" s="23" t="s">
        <v>18</v>
      </c>
      <c r="D36" s="10">
        <v>45382</v>
      </c>
      <c r="E36" s="8" t="s">
        <v>19</v>
      </c>
      <c r="F36" s="19">
        <v>5</v>
      </c>
      <c r="G36" s="20" t="s">
        <v>16</v>
      </c>
      <c r="H36" s="13" t="s">
        <v>19</v>
      </c>
      <c r="I36" s="15" t="s">
        <v>307</v>
      </c>
      <c r="J36" s="16" t="s">
        <v>19</v>
      </c>
      <c r="K36" s="17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60</v>
      </c>
      <c r="C37" s="23" t="s">
        <v>18</v>
      </c>
      <c r="D37" s="10">
        <v>45383</v>
      </c>
      <c r="E37" s="8" t="s">
        <v>15</v>
      </c>
      <c r="F37" s="19">
        <v>5</v>
      </c>
      <c r="G37" s="20" t="s">
        <v>16</v>
      </c>
      <c r="H37" s="13" t="s">
        <v>19</v>
      </c>
      <c r="I37" s="15" t="s">
        <v>307</v>
      </c>
      <c r="J37" s="16" t="s">
        <v>19</v>
      </c>
      <c r="K37" s="17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61</v>
      </c>
      <c r="C38" s="23" t="s">
        <v>14</v>
      </c>
      <c r="D38" s="10">
        <v>45384</v>
      </c>
      <c r="E38" s="8" t="s">
        <v>19</v>
      </c>
      <c r="F38" s="19">
        <v>15</v>
      </c>
      <c r="G38" s="20" t="s">
        <v>23</v>
      </c>
      <c r="H38" s="13" t="s">
        <v>15</v>
      </c>
      <c r="I38" s="15">
        <v>30</v>
      </c>
      <c r="J38" s="16" t="s">
        <v>15</v>
      </c>
      <c r="K38" s="17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62</v>
      </c>
      <c r="C39" s="23" t="s">
        <v>22</v>
      </c>
      <c r="D39" s="10">
        <v>45385</v>
      </c>
      <c r="E39" s="8" t="s">
        <v>15</v>
      </c>
      <c r="F39" s="19">
        <v>10</v>
      </c>
      <c r="G39" s="20" t="s">
        <v>20</v>
      </c>
      <c r="H39" s="13" t="s">
        <v>19</v>
      </c>
      <c r="I39" s="15" t="s">
        <v>307</v>
      </c>
      <c r="J39" s="16" t="s">
        <v>15</v>
      </c>
      <c r="K39" s="17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63</v>
      </c>
      <c r="C40" s="23" t="s">
        <v>18</v>
      </c>
      <c r="D40" s="10">
        <v>45386</v>
      </c>
      <c r="E40" s="8" t="s">
        <v>19</v>
      </c>
      <c r="F40" s="19">
        <v>5</v>
      </c>
      <c r="G40" s="20" t="s">
        <v>23</v>
      </c>
      <c r="H40" s="13" t="s">
        <v>19</v>
      </c>
      <c r="I40" s="15" t="s">
        <v>307</v>
      </c>
      <c r="J40" s="16" t="s">
        <v>19</v>
      </c>
      <c r="K40" s="17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64</v>
      </c>
      <c r="C41" s="23" t="s">
        <v>14</v>
      </c>
      <c r="D41" s="10">
        <v>45387</v>
      </c>
      <c r="E41" s="8" t="s">
        <v>15</v>
      </c>
      <c r="F41" s="19">
        <v>15</v>
      </c>
      <c r="G41" s="20" t="s">
        <v>16</v>
      </c>
      <c r="H41" s="13" t="s">
        <v>15</v>
      </c>
      <c r="I41" s="15">
        <v>30</v>
      </c>
      <c r="J41" s="16" t="s">
        <v>15</v>
      </c>
      <c r="K41" s="17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65</v>
      </c>
      <c r="C42" s="23" t="s">
        <v>22</v>
      </c>
      <c r="D42" s="10">
        <v>45388</v>
      </c>
      <c r="E42" s="8" t="s">
        <v>19</v>
      </c>
      <c r="F42" s="19">
        <v>10</v>
      </c>
      <c r="G42" s="20" t="s">
        <v>16</v>
      </c>
      <c r="H42" s="13" t="s">
        <v>19</v>
      </c>
      <c r="I42" s="15" t="s">
        <v>307</v>
      </c>
      <c r="J42" s="16" t="s">
        <v>15</v>
      </c>
      <c r="K42" s="17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66</v>
      </c>
      <c r="C43" s="23" t="s">
        <v>18</v>
      </c>
      <c r="D43" s="10">
        <v>45389</v>
      </c>
      <c r="E43" s="8" t="s">
        <v>15</v>
      </c>
      <c r="F43" s="19">
        <v>5</v>
      </c>
      <c r="G43" s="20" t="s">
        <v>20</v>
      </c>
      <c r="H43" s="13" t="s">
        <v>19</v>
      </c>
      <c r="I43" s="15" t="s">
        <v>307</v>
      </c>
      <c r="J43" s="16" t="s">
        <v>19</v>
      </c>
      <c r="K43" s="17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67</v>
      </c>
      <c r="C44" s="23" t="s">
        <v>14</v>
      </c>
      <c r="D44" s="10">
        <v>45390</v>
      </c>
      <c r="E44" s="8" t="s">
        <v>19</v>
      </c>
      <c r="F44" s="19">
        <v>15</v>
      </c>
      <c r="G44" s="20" t="s">
        <v>23</v>
      </c>
      <c r="H44" s="13" t="s">
        <v>15</v>
      </c>
      <c r="I44" s="15">
        <v>30</v>
      </c>
      <c r="J44" s="16" t="s">
        <v>15</v>
      </c>
      <c r="K44" s="17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68</v>
      </c>
      <c r="C45" s="23" t="s">
        <v>22</v>
      </c>
      <c r="D45" s="10">
        <v>45391</v>
      </c>
      <c r="E45" s="8" t="s">
        <v>15</v>
      </c>
      <c r="F45" s="19">
        <v>10</v>
      </c>
      <c r="G45" s="20" t="s">
        <v>23</v>
      </c>
      <c r="H45" s="13" t="s">
        <v>19</v>
      </c>
      <c r="I45" s="15" t="s">
        <v>307</v>
      </c>
      <c r="J45" s="16" t="s">
        <v>15</v>
      </c>
      <c r="K45" s="17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69</v>
      </c>
      <c r="C46" s="23" t="s">
        <v>18</v>
      </c>
      <c r="D46" s="10">
        <v>45392</v>
      </c>
      <c r="E46" s="8" t="s">
        <v>19</v>
      </c>
      <c r="F46" s="19">
        <v>5</v>
      </c>
      <c r="G46" s="20" t="s">
        <v>16</v>
      </c>
      <c r="H46" s="13" t="s">
        <v>19</v>
      </c>
      <c r="I46" s="15" t="s">
        <v>307</v>
      </c>
      <c r="J46" s="16" t="s">
        <v>19</v>
      </c>
      <c r="K46" s="17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70</v>
      </c>
      <c r="C47" s="23" t="s">
        <v>14</v>
      </c>
      <c r="D47" s="10">
        <v>45393</v>
      </c>
      <c r="E47" s="8" t="s">
        <v>15</v>
      </c>
      <c r="F47" s="19">
        <v>15</v>
      </c>
      <c r="G47" s="20" t="s">
        <v>20</v>
      </c>
      <c r="H47" s="13" t="s">
        <v>15</v>
      </c>
      <c r="I47" s="15">
        <v>30</v>
      </c>
      <c r="J47" s="16" t="s">
        <v>15</v>
      </c>
      <c r="K47" s="17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71</v>
      </c>
      <c r="C48" s="23" t="s">
        <v>22</v>
      </c>
      <c r="D48" s="10">
        <v>45394</v>
      </c>
      <c r="E48" s="8" t="s">
        <v>19</v>
      </c>
      <c r="F48" s="19">
        <v>10</v>
      </c>
      <c r="G48" s="20" t="s">
        <v>16</v>
      </c>
      <c r="H48" s="13" t="s">
        <v>19</v>
      </c>
      <c r="I48" s="15" t="s">
        <v>307</v>
      </c>
      <c r="J48" s="16" t="s">
        <v>15</v>
      </c>
      <c r="K48" s="17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72</v>
      </c>
      <c r="C49" s="23" t="s">
        <v>18</v>
      </c>
      <c r="D49" s="10">
        <v>45395</v>
      </c>
      <c r="E49" s="8" t="s">
        <v>15</v>
      </c>
      <c r="F49" s="19">
        <v>5</v>
      </c>
      <c r="G49" s="20" t="s">
        <v>23</v>
      </c>
      <c r="H49" s="13" t="s">
        <v>19</v>
      </c>
      <c r="I49" s="15" t="s">
        <v>307</v>
      </c>
      <c r="J49" s="16" t="s">
        <v>19</v>
      </c>
      <c r="K49" s="17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73</v>
      </c>
      <c r="C50" s="23" t="s">
        <v>14</v>
      </c>
      <c r="D50" s="10">
        <v>45396</v>
      </c>
      <c r="E50" s="8" t="s">
        <v>19</v>
      </c>
      <c r="F50" s="19">
        <v>15</v>
      </c>
      <c r="G50" s="20" t="s">
        <v>16</v>
      </c>
      <c r="H50" s="13" t="s">
        <v>15</v>
      </c>
      <c r="I50" s="15">
        <v>30</v>
      </c>
      <c r="J50" s="16" t="s">
        <v>15</v>
      </c>
      <c r="K50" s="17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74</v>
      </c>
      <c r="C51" s="23" t="s">
        <v>22</v>
      </c>
      <c r="D51" s="10">
        <v>45397</v>
      </c>
      <c r="E51" s="8" t="s">
        <v>15</v>
      </c>
      <c r="F51" s="19">
        <v>10</v>
      </c>
      <c r="G51" s="20" t="s">
        <v>20</v>
      </c>
      <c r="H51" s="13" t="s">
        <v>19</v>
      </c>
      <c r="I51" s="15" t="s">
        <v>307</v>
      </c>
      <c r="J51" s="16" t="s">
        <v>15</v>
      </c>
      <c r="K51" s="17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75</v>
      </c>
      <c r="C52" s="23" t="s">
        <v>18</v>
      </c>
      <c r="D52" s="10">
        <v>45398</v>
      </c>
      <c r="E52" s="8" t="s">
        <v>19</v>
      </c>
      <c r="F52" s="19">
        <v>5</v>
      </c>
      <c r="G52" s="20" t="s">
        <v>16</v>
      </c>
      <c r="H52" s="13" t="s">
        <v>19</v>
      </c>
      <c r="I52" s="15" t="s">
        <v>307</v>
      </c>
      <c r="J52" s="16" t="s">
        <v>19</v>
      </c>
      <c r="K52" s="17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76</v>
      </c>
      <c r="C53" s="23" t="s">
        <v>14</v>
      </c>
      <c r="D53" s="10">
        <v>45399</v>
      </c>
      <c r="E53" s="8" t="s">
        <v>15</v>
      </c>
      <c r="F53" s="19">
        <v>15</v>
      </c>
      <c r="G53" s="20" t="s">
        <v>23</v>
      </c>
      <c r="H53" s="13" t="s">
        <v>15</v>
      </c>
      <c r="I53" s="15">
        <v>30</v>
      </c>
      <c r="J53" s="16" t="s">
        <v>15</v>
      </c>
      <c r="K53" s="17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77</v>
      </c>
      <c r="C54" s="23" t="s">
        <v>22</v>
      </c>
      <c r="D54" s="10">
        <v>45400</v>
      </c>
      <c r="E54" s="8" t="s">
        <v>19</v>
      </c>
      <c r="F54" s="19">
        <v>10</v>
      </c>
      <c r="G54" s="20" t="s">
        <v>16</v>
      </c>
      <c r="H54" s="13" t="s">
        <v>19</v>
      </c>
      <c r="I54" s="15" t="s">
        <v>307</v>
      </c>
      <c r="J54" s="16" t="s">
        <v>15</v>
      </c>
      <c r="K54" s="17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78</v>
      </c>
      <c r="C55" s="23" t="s">
        <v>18</v>
      </c>
      <c r="D55" s="10">
        <v>45401</v>
      </c>
      <c r="E55" s="8" t="s">
        <v>15</v>
      </c>
      <c r="F55" s="19">
        <v>5</v>
      </c>
      <c r="G55" s="20" t="s">
        <v>20</v>
      </c>
      <c r="H55" s="13" t="s">
        <v>19</v>
      </c>
      <c r="I55" s="15" t="s">
        <v>307</v>
      </c>
      <c r="J55" s="16" t="s">
        <v>19</v>
      </c>
      <c r="K55" s="17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79</v>
      </c>
      <c r="C56" s="23" t="s">
        <v>14</v>
      </c>
      <c r="D56" s="10">
        <v>45402</v>
      </c>
      <c r="E56" s="8" t="s">
        <v>19</v>
      </c>
      <c r="F56" s="19">
        <v>15</v>
      </c>
      <c r="G56" s="20" t="s">
        <v>16</v>
      </c>
      <c r="H56" s="13" t="s">
        <v>15</v>
      </c>
      <c r="I56" s="15">
        <v>30</v>
      </c>
      <c r="J56" s="16" t="s">
        <v>15</v>
      </c>
      <c r="K56" s="17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80</v>
      </c>
      <c r="C57" s="23" t="s">
        <v>22</v>
      </c>
      <c r="D57" s="10">
        <v>45403</v>
      </c>
      <c r="E57" s="8" t="s">
        <v>15</v>
      </c>
      <c r="F57" s="19">
        <v>10</v>
      </c>
      <c r="G57" s="20" t="s">
        <v>23</v>
      </c>
      <c r="H57" s="13" t="s">
        <v>19</v>
      </c>
      <c r="I57" s="15" t="s">
        <v>307</v>
      </c>
      <c r="J57" s="16" t="s">
        <v>15</v>
      </c>
      <c r="K57" s="17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81</v>
      </c>
      <c r="C58" s="23" t="s">
        <v>18</v>
      </c>
      <c r="D58" s="10">
        <v>45404</v>
      </c>
      <c r="E58" s="8" t="s">
        <v>19</v>
      </c>
      <c r="F58" s="19">
        <v>5</v>
      </c>
      <c r="G58" s="20" t="s">
        <v>16</v>
      </c>
      <c r="H58" s="13" t="s">
        <v>19</v>
      </c>
      <c r="I58" s="15" t="s">
        <v>307</v>
      </c>
      <c r="J58" s="16" t="s">
        <v>19</v>
      </c>
      <c r="K58" s="17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82</v>
      </c>
      <c r="C59" s="23" t="s">
        <v>14</v>
      </c>
      <c r="D59" s="10">
        <v>45405</v>
      </c>
      <c r="E59" s="8" t="s">
        <v>15</v>
      </c>
      <c r="F59" s="19">
        <v>15</v>
      </c>
      <c r="G59" s="20" t="s">
        <v>20</v>
      </c>
      <c r="H59" s="13" t="s">
        <v>15</v>
      </c>
      <c r="I59" s="15">
        <v>30</v>
      </c>
      <c r="J59" s="16" t="s">
        <v>15</v>
      </c>
      <c r="K59" s="17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83</v>
      </c>
      <c r="C60" s="23" t="s">
        <v>22</v>
      </c>
      <c r="D60" s="10">
        <v>45406</v>
      </c>
      <c r="E60" s="8" t="s">
        <v>19</v>
      </c>
      <c r="F60" s="19">
        <v>10</v>
      </c>
      <c r="G60" s="20" t="s">
        <v>16</v>
      </c>
      <c r="H60" s="13" t="s">
        <v>19</v>
      </c>
      <c r="I60" s="15" t="s">
        <v>307</v>
      </c>
      <c r="J60" s="16" t="s">
        <v>15</v>
      </c>
      <c r="K60" s="17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84</v>
      </c>
      <c r="C61" s="23" t="s">
        <v>18</v>
      </c>
      <c r="D61" s="10">
        <v>45407</v>
      </c>
      <c r="E61" s="8" t="s">
        <v>15</v>
      </c>
      <c r="F61" s="19">
        <v>5</v>
      </c>
      <c r="G61" s="20" t="s">
        <v>23</v>
      </c>
      <c r="H61" s="13" t="s">
        <v>19</v>
      </c>
      <c r="I61" s="15" t="s">
        <v>307</v>
      </c>
      <c r="J61" s="16" t="s">
        <v>19</v>
      </c>
      <c r="K61" s="17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85</v>
      </c>
      <c r="C62" s="23" t="s">
        <v>14</v>
      </c>
      <c r="D62" s="10">
        <v>45408</v>
      </c>
      <c r="E62" s="8" t="s">
        <v>19</v>
      </c>
      <c r="F62" s="19">
        <v>15</v>
      </c>
      <c r="G62" s="20" t="s">
        <v>16</v>
      </c>
      <c r="H62" s="13" t="s">
        <v>15</v>
      </c>
      <c r="I62" s="15">
        <v>30</v>
      </c>
      <c r="J62" s="16" t="s">
        <v>15</v>
      </c>
      <c r="K62" s="17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86</v>
      </c>
      <c r="C63" s="23" t="s">
        <v>22</v>
      </c>
      <c r="D63" s="10">
        <v>45409</v>
      </c>
      <c r="E63" s="8" t="s">
        <v>15</v>
      </c>
      <c r="F63" s="19">
        <v>10</v>
      </c>
      <c r="G63" s="20" t="s">
        <v>20</v>
      </c>
      <c r="H63" s="13" t="s">
        <v>19</v>
      </c>
      <c r="I63" s="15" t="s">
        <v>307</v>
      </c>
      <c r="J63" s="16" t="s">
        <v>15</v>
      </c>
      <c r="K63" s="17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87</v>
      </c>
      <c r="C64" s="23" t="s">
        <v>18</v>
      </c>
      <c r="D64" s="10">
        <v>45410</v>
      </c>
      <c r="E64" s="8" t="s">
        <v>19</v>
      </c>
      <c r="F64" s="19">
        <v>5</v>
      </c>
      <c r="G64" s="20" t="s">
        <v>16</v>
      </c>
      <c r="H64" s="13" t="s">
        <v>19</v>
      </c>
      <c r="I64" s="15" t="s">
        <v>307</v>
      </c>
      <c r="J64" s="16" t="s">
        <v>19</v>
      </c>
      <c r="K64" s="17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88</v>
      </c>
      <c r="C65" s="23" t="s">
        <v>14</v>
      </c>
      <c r="D65" s="10">
        <v>45411</v>
      </c>
      <c r="E65" s="8" t="s">
        <v>15</v>
      </c>
      <c r="F65" s="19">
        <v>15</v>
      </c>
      <c r="G65" s="20" t="s">
        <v>23</v>
      </c>
      <c r="H65" s="13" t="s">
        <v>15</v>
      </c>
      <c r="I65" s="15">
        <v>30</v>
      </c>
      <c r="J65" s="16" t="s">
        <v>15</v>
      </c>
      <c r="K65" s="17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89</v>
      </c>
      <c r="C66" s="23" t="s">
        <v>22</v>
      </c>
      <c r="D66" s="10">
        <v>45412</v>
      </c>
      <c r="E66" s="8" t="s">
        <v>19</v>
      </c>
      <c r="F66" s="19">
        <v>10</v>
      </c>
      <c r="G66" s="20" t="s">
        <v>16</v>
      </c>
      <c r="H66" s="13" t="s">
        <v>19</v>
      </c>
      <c r="I66" s="15" t="s">
        <v>307</v>
      </c>
      <c r="J66" s="16" t="s">
        <v>15</v>
      </c>
      <c r="K66" s="17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90</v>
      </c>
      <c r="C67" s="23" t="s">
        <v>18</v>
      </c>
      <c r="D67" s="10">
        <v>45413</v>
      </c>
      <c r="E67" s="8" t="s">
        <v>19</v>
      </c>
      <c r="F67" s="19">
        <v>5</v>
      </c>
      <c r="G67" s="20" t="s">
        <v>16</v>
      </c>
      <c r="H67" s="13" t="s">
        <v>19</v>
      </c>
      <c r="I67" s="15" t="s">
        <v>307</v>
      </c>
      <c r="J67" s="16" t="s">
        <v>19</v>
      </c>
      <c r="K67" s="17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91</v>
      </c>
      <c r="C68" s="23" t="s">
        <v>14</v>
      </c>
      <c r="D68" s="10">
        <v>45414</v>
      </c>
      <c r="E68" s="8" t="s">
        <v>15</v>
      </c>
      <c r="F68" s="19">
        <v>15</v>
      </c>
      <c r="G68" s="20" t="s">
        <v>23</v>
      </c>
      <c r="H68" s="13" t="s">
        <v>15</v>
      </c>
      <c r="I68" s="15">
        <v>30</v>
      </c>
      <c r="J68" s="16" t="s">
        <v>15</v>
      </c>
      <c r="K68" s="17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92</v>
      </c>
      <c r="C69" s="23" t="s">
        <v>22</v>
      </c>
      <c r="D69" s="10">
        <v>45415</v>
      </c>
      <c r="E69" s="8" t="s">
        <v>19</v>
      </c>
      <c r="F69" s="19">
        <v>10</v>
      </c>
      <c r="G69" s="20" t="s">
        <v>20</v>
      </c>
      <c r="H69" s="13" t="s">
        <v>19</v>
      </c>
      <c r="I69" s="15" t="s">
        <v>307</v>
      </c>
      <c r="J69" s="16" t="s">
        <v>15</v>
      </c>
      <c r="K69" s="17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93</v>
      </c>
      <c r="C70" s="23" t="s">
        <v>18</v>
      </c>
      <c r="D70" s="10">
        <v>45416</v>
      </c>
      <c r="E70" s="8" t="s">
        <v>15</v>
      </c>
      <c r="F70" s="19">
        <v>5</v>
      </c>
      <c r="G70" s="20" t="s">
        <v>23</v>
      </c>
      <c r="H70" s="13" t="s">
        <v>19</v>
      </c>
      <c r="I70" s="15" t="s">
        <v>307</v>
      </c>
      <c r="J70" s="16" t="s">
        <v>19</v>
      </c>
      <c r="K70" s="17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94</v>
      </c>
      <c r="C71" s="23" t="s">
        <v>14</v>
      </c>
      <c r="D71" s="10">
        <v>45417</v>
      </c>
      <c r="E71" s="8" t="s">
        <v>19</v>
      </c>
      <c r="F71" s="19">
        <v>15</v>
      </c>
      <c r="G71" s="20" t="s">
        <v>16</v>
      </c>
      <c r="H71" s="13" t="s">
        <v>15</v>
      </c>
      <c r="I71" s="15">
        <v>30</v>
      </c>
      <c r="J71" s="16" t="s">
        <v>15</v>
      </c>
      <c r="K71" s="17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95</v>
      </c>
      <c r="C72" s="23" t="s">
        <v>22</v>
      </c>
      <c r="D72" s="10">
        <v>45418</v>
      </c>
      <c r="E72" s="8" t="s">
        <v>15</v>
      </c>
      <c r="F72" s="19">
        <v>10</v>
      </c>
      <c r="G72" s="20" t="s">
        <v>16</v>
      </c>
      <c r="H72" s="13" t="s">
        <v>19</v>
      </c>
      <c r="I72" s="15" t="s">
        <v>307</v>
      </c>
      <c r="J72" s="16" t="s">
        <v>15</v>
      </c>
      <c r="K72" s="17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96</v>
      </c>
      <c r="C73" s="23" t="s">
        <v>18</v>
      </c>
      <c r="D73" s="10">
        <v>45419</v>
      </c>
      <c r="E73" s="8" t="s">
        <v>19</v>
      </c>
      <c r="F73" s="19">
        <v>5</v>
      </c>
      <c r="G73" s="20" t="s">
        <v>20</v>
      </c>
      <c r="H73" s="13" t="s">
        <v>19</v>
      </c>
      <c r="I73" s="15" t="s">
        <v>307</v>
      </c>
      <c r="J73" s="16" t="s">
        <v>19</v>
      </c>
      <c r="K73" s="17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97</v>
      </c>
      <c r="C74" s="23" t="s">
        <v>14</v>
      </c>
      <c r="D74" s="10">
        <v>45420</v>
      </c>
      <c r="E74" s="8" t="s">
        <v>15</v>
      </c>
      <c r="F74" s="19">
        <v>15</v>
      </c>
      <c r="G74" s="20" t="s">
        <v>23</v>
      </c>
      <c r="H74" s="13" t="s">
        <v>15</v>
      </c>
      <c r="I74" s="15">
        <v>30</v>
      </c>
      <c r="J74" s="16" t="s">
        <v>15</v>
      </c>
      <c r="K74" s="17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98</v>
      </c>
      <c r="C75" s="23" t="s">
        <v>22</v>
      </c>
      <c r="D75" s="10">
        <v>45421</v>
      </c>
      <c r="E75" s="8" t="s">
        <v>19</v>
      </c>
      <c r="F75" s="19">
        <v>10</v>
      </c>
      <c r="G75" s="20" t="s">
        <v>23</v>
      </c>
      <c r="H75" s="13" t="s">
        <v>19</v>
      </c>
      <c r="I75" s="15" t="s">
        <v>307</v>
      </c>
      <c r="J75" s="16" t="s">
        <v>15</v>
      </c>
      <c r="K75" s="17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99</v>
      </c>
      <c r="C76" s="23" t="s">
        <v>18</v>
      </c>
      <c r="D76" s="10">
        <v>45422</v>
      </c>
      <c r="E76" s="8" t="s">
        <v>15</v>
      </c>
      <c r="F76" s="19">
        <v>5</v>
      </c>
      <c r="G76" s="20" t="s">
        <v>16</v>
      </c>
      <c r="H76" s="13" t="s">
        <v>19</v>
      </c>
      <c r="I76" s="15" t="s">
        <v>307</v>
      </c>
      <c r="J76" s="16" t="s">
        <v>19</v>
      </c>
      <c r="K76" s="17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100</v>
      </c>
      <c r="C77" s="23" t="s">
        <v>14</v>
      </c>
      <c r="D77" s="10">
        <v>45423</v>
      </c>
      <c r="E77" s="8" t="s">
        <v>19</v>
      </c>
      <c r="F77" s="19">
        <v>15</v>
      </c>
      <c r="G77" s="20" t="s">
        <v>20</v>
      </c>
      <c r="H77" s="13" t="s">
        <v>15</v>
      </c>
      <c r="I77" s="15">
        <v>30</v>
      </c>
      <c r="J77" s="16" t="s">
        <v>15</v>
      </c>
      <c r="K77" s="17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101</v>
      </c>
      <c r="C78" s="23" t="s">
        <v>22</v>
      </c>
      <c r="D78" s="10">
        <v>45424</v>
      </c>
      <c r="E78" s="8" t="s">
        <v>15</v>
      </c>
      <c r="F78" s="19">
        <v>10</v>
      </c>
      <c r="G78" s="20" t="s">
        <v>16</v>
      </c>
      <c r="H78" s="13" t="s">
        <v>19</v>
      </c>
      <c r="I78" s="15" t="s">
        <v>307</v>
      </c>
      <c r="J78" s="16" t="s">
        <v>15</v>
      </c>
      <c r="K78" s="17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102</v>
      </c>
      <c r="C79" s="23" t="s">
        <v>18</v>
      </c>
      <c r="D79" s="10">
        <v>45425</v>
      </c>
      <c r="E79" s="8" t="s">
        <v>19</v>
      </c>
      <c r="F79" s="19">
        <v>5</v>
      </c>
      <c r="G79" s="20" t="s">
        <v>23</v>
      </c>
      <c r="H79" s="13" t="s">
        <v>19</v>
      </c>
      <c r="I79" s="15" t="s">
        <v>307</v>
      </c>
      <c r="J79" s="16" t="s">
        <v>19</v>
      </c>
      <c r="K79" s="17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103</v>
      </c>
      <c r="C80" s="23" t="s">
        <v>14</v>
      </c>
      <c r="D80" s="10">
        <v>45426</v>
      </c>
      <c r="E80" s="8" t="s">
        <v>15</v>
      </c>
      <c r="F80" s="19">
        <v>15</v>
      </c>
      <c r="G80" s="20" t="s">
        <v>16</v>
      </c>
      <c r="H80" s="13" t="s">
        <v>15</v>
      </c>
      <c r="I80" s="15">
        <v>30</v>
      </c>
      <c r="J80" s="16" t="s">
        <v>15</v>
      </c>
      <c r="K80" s="17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104</v>
      </c>
      <c r="C81" s="23" t="s">
        <v>22</v>
      </c>
      <c r="D81" s="10">
        <v>45427</v>
      </c>
      <c r="E81" s="8" t="s">
        <v>19</v>
      </c>
      <c r="F81" s="19">
        <v>10</v>
      </c>
      <c r="G81" s="20" t="s">
        <v>20</v>
      </c>
      <c r="H81" s="13" t="s">
        <v>19</v>
      </c>
      <c r="I81" s="15" t="s">
        <v>307</v>
      </c>
      <c r="J81" s="16" t="s">
        <v>15</v>
      </c>
      <c r="K81" s="17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105</v>
      </c>
      <c r="C82" s="23" t="s">
        <v>18</v>
      </c>
      <c r="D82" s="10">
        <v>45428</v>
      </c>
      <c r="E82" s="8" t="s">
        <v>15</v>
      </c>
      <c r="F82" s="19">
        <v>5</v>
      </c>
      <c r="G82" s="20" t="s">
        <v>16</v>
      </c>
      <c r="H82" s="13" t="s">
        <v>19</v>
      </c>
      <c r="I82" s="15" t="s">
        <v>307</v>
      </c>
      <c r="J82" s="16" t="s">
        <v>19</v>
      </c>
      <c r="K82" s="17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106</v>
      </c>
      <c r="C83" s="23" t="s">
        <v>14</v>
      </c>
      <c r="D83" s="10">
        <v>45429</v>
      </c>
      <c r="E83" s="8" t="s">
        <v>19</v>
      </c>
      <c r="F83" s="19">
        <v>15</v>
      </c>
      <c r="G83" s="20" t="s">
        <v>23</v>
      </c>
      <c r="H83" s="13" t="s">
        <v>15</v>
      </c>
      <c r="I83" s="15">
        <v>30</v>
      </c>
      <c r="J83" s="16" t="s">
        <v>15</v>
      </c>
      <c r="K83" s="17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107</v>
      </c>
      <c r="C84" s="23" t="s">
        <v>22</v>
      </c>
      <c r="D84" s="10">
        <v>45430</v>
      </c>
      <c r="E84" s="8" t="s">
        <v>15</v>
      </c>
      <c r="F84" s="19">
        <v>10</v>
      </c>
      <c r="G84" s="20" t="s">
        <v>16</v>
      </c>
      <c r="H84" s="13" t="s">
        <v>19</v>
      </c>
      <c r="I84" s="15" t="s">
        <v>307</v>
      </c>
      <c r="J84" s="16" t="s">
        <v>15</v>
      </c>
      <c r="K84" s="17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108</v>
      </c>
      <c r="C85" s="23" t="s">
        <v>18</v>
      </c>
      <c r="D85" s="10">
        <v>45431</v>
      </c>
      <c r="E85" s="8" t="s">
        <v>19</v>
      </c>
      <c r="F85" s="19">
        <v>5</v>
      </c>
      <c r="G85" s="20" t="s">
        <v>20</v>
      </c>
      <c r="H85" s="13" t="s">
        <v>19</v>
      </c>
      <c r="I85" s="15" t="s">
        <v>307</v>
      </c>
      <c r="J85" s="16" t="s">
        <v>19</v>
      </c>
      <c r="K85" s="17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109</v>
      </c>
      <c r="C86" s="23" t="s">
        <v>14</v>
      </c>
      <c r="D86" s="10">
        <v>45432</v>
      </c>
      <c r="E86" s="8" t="s">
        <v>15</v>
      </c>
      <c r="F86" s="19">
        <v>15</v>
      </c>
      <c r="G86" s="20" t="s">
        <v>16</v>
      </c>
      <c r="H86" s="13" t="s">
        <v>15</v>
      </c>
      <c r="I86" s="15">
        <v>30</v>
      </c>
      <c r="J86" s="16" t="s">
        <v>15</v>
      </c>
      <c r="K86" s="17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110</v>
      </c>
      <c r="C87" s="23" t="s">
        <v>22</v>
      </c>
      <c r="D87" s="10">
        <v>45433</v>
      </c>
      <c r="E87" s="8" t="s">
        <v>19</v>
      </c>
      <c r="F87" s="19">
        <v>10</v>
      </c>
      <c r="G87" s="20" t="s">
        <v>23</v>
      </c>
      <c r="H87" s="13" t="s">
        <v>19</v>
      </c>
      <c r="I87" s="15" t="s">
        <v>307</v>
      </c>
      <c r="J87" s="16" t="s">
        <v>15</v>
      </c>
      <c r="K87" s="17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111</v>
      </c>
      <c r="C88" s="23" t="s">
        <v>18</v>
      </c>
      <c r="D88" s="10">
        <v>45434</v>
      </c>
      <c r="E88" s="8" t="s">
        <v>15</v>
      </c>
      <c r="F88" s="19">
        <v>5</v>
      </c>
      <c r="G88" s="20" t="s">
        <v>16</v>
      </c>
      <c r="H88" s="13" t="s">
        <v>19</v>
      </c>
      <c r="I88" s="15" t="s">
        <v>307</v>
      </c>
      <c r="J88" s="16" t="s">
        <v>19</v>
      </c>
      <c r="K88" s="17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112</v>
      </c>
      <c r="C89" s="23" t="s">
        <v>14</v>
      </c>
      <c r="D89" s="10">
        <v>45435</v>
      </c>
      <c r="E89" s="8" t="s">
        <v>19</v>
      </c>
      <c r="F89" s="19">
        <v>15</v>
      </c>
      <c r="G89" s="20" t="s">
        <v>20</v>
      </c>
      <c r="H89" s="13" t="s">
        <v>15</v>
      </c>
      <c r="I89" s="15">
        <v>30</v>
      </c>
      <c r="J89" s="16" t="s">
        <v>15</v>
      </c>
      <c r="K89" s="17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113</v>
      </c>
      <c r="C90" s="23" t="s">
        <v>22</v>
      </c>
      <c r="D90" s="10">
        <v>45436</v>
      </c>
      <c r="E90" s="8" t="s">
        <v>15</v>
      </c>
      <c r="F90" s="19">
        <v>10</v>
      </c>
      <c r="G90" s="20" t="s">
        <v>16</v>
      </c>
      <c r="H90" s="13" t="s">
        <v>19</v>
      </c>
      <c r="I90" s="15" t="s">
        <v>307</v>
      </c>
      <c r="J90" s="16" t="s">
        <v>15</v>
      </c>
      <c r="K90" s="17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114</v>
      </c>
      <c r="C91" s="23" t="s">
        <v>18</v>
      </c>
      <c r="D91" s="10">
        <v>45437</v>
      </c>
      <c r="E91" s="8" t="s">
        <v>19</v>
      </c>
      <c r="F91" s="19">
        <v>5</v>
      </c>
      <c r="G91" s="20" t="s">
        <v>23</v>
      </c>
      <c r="H91" s="13" t="s">
        <v>19</v>
      </c>
      <c r="I91" s="15" t="s">
        <v>307</v>
      </c>
      <c r="J91" s="16" t="s">
        <v>19</v>
      </c>
      <c r="K91" s="17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115</v>
      </c>
      <c r="C92" s="23" t="s">
        <v>14</v>
      </c>
      <c r="D92" s="10">
        <v>45438</v>
      </c>
      <c r="E92" s="8" t="s">
        <v>15</v>
      </c>
      <c r="F92" s="19">
        <v>15</v>
      </c>
      <c r="G92" s="20" t="s">
        <v>16</v>
      </c>
      <c r="H92" s="13" t="s">
        <v>15</v>
      </c>
      <c r="I92" s="15">
        <v>30</v>
      </c>
      <c r="J92" s="16" t="s">
        <v>15</v>
      </c>
      <c r="K92" s="17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116</v>
      </c>
      <c r="C93" s="23" t="s">
        <v>22</v>
      </c>
      <c r="D93" s="10">
        <v>45439</v>
      </c>
      <c r="E93" s="8" t="s">
        <v>19</v>
      </c>
      <c r="F93" s="19">
        <v>10</v>
      </c>
      <c r="G93" s="20" t="s">
        <v>20</v>
      </c>
      <c r="H93" s="13" t="s">
        <v>19</v>
      </c>
      <c r="I93" s="15" t="s">
        <v>307</v>
      </c>
      <c r="J93" s="16" t="s">
        <v>15</v>
      </c>
      <c r="K93" s="17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117</v>
      </c>
      <c r="C94" s="23" t="s">
        <v>18</v>
      </c>
      <c r="D94" s="10">
        <v>45440</v>
      </c>
      <c r="E94" s="8" t="s">
        <v>15</v>
      </c>
      <c r="F94" s="19">
        <v>5</v>
      </c>
      <c r="G94" s="20" t="s">
        <v>16</v>
      </c>
      <c r="H94" s="13" t="s">
        <v>19</v>
      </c>
      <c r="I94" s="15" t="s">
        <v>307</v>
      </c>
      <c r="J94" s="16" t="s">
        <v>19</v>
      </c>
      <c r="K94" s="17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118</v>
      </c>
      <c r="C95" s="23" t="s">
        <v>14</v>
      </c>
      <c r="D95" s="10">
        <v>45441</v>
      </c>
      <c r="E95" s="8" t="s">
        <v>19</v>
      </c>
      <c r="F95" s="19">
        <v>15</v>
      </c>
      <c r="G95" s="20" t="s">
        <v>23</v>
      </c>
      <c r="H95" s="13" t="s">
        <v>15</v>
      </c>
      <c r="I95" s="15">
        <v>30</v>
      </c>
      <c r="J95" s="16" t="s">
        <v>15</v>
      </c>
      <c r="K95" s="17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119</v>
      </c>
      <c r="C96" s="23" t="s">
        <v>22</v>
      </c>
      <c r="D96" s="10">
        <v>45442</v>
      </c>
      <c r="E96" s="8" t="s">
        <v>15</v>
      </c>
      <c r="F96" s="19">
        <v>10</v>
      </c>
      <c r="G96" s="20" t="s">
        <v>23</v>
      </c>
      <c r="H96" s="13" t="s">
        <v>19</v>
      </c>
      <c r="I96" s="15" t="s">
        <v>307</v>
      </c>
      <c r="J96" s="16" t="s">
        <v>15</v>
      </c>
      <c r="K96" s="17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120</v>
      </c>
      <c r="C97" s="23" t="s">
        <v>18</v>
      </c>
      <c r="D97" s="10">
        <v>45443</v>
      </c>
      <c r="E97" s="8" t="s">
        <v>19</v>
      </c>
      <c r="F97" s="19">
        <v>5</v>
      </c>
      <c r="G97" s="20" t="s">
        <v>20</v>
      </c>
      <c r="H97" s="13" t="s">
        <v>19</v>
      </c>
      <c r="I97" s="15" t="s">
        <v>307</v>
      </c>
      <c r="J97" s="16" t="s">
        <v>19</v>
      </c>
      <c r="K97" s="17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121</v>
      </c>
      <c r="C98" s="23" t="s">
        <v>14</v>
      </c>
      <c r="D98" s="10">
        <v>45444</v>
      </c>
      <c r="E98" s="8" t="s">
        <v>15</v>
      </c>
      <c r="F98" s="19">
        <v>15</v>
      </c>
      <c r="G98" s="20" t="s">
        <v>16</v>
      </c>
      <c r="H98" s="13" t="s">
        <v>15</v>
      </c>
      <c r="I98" s="15">
        <v>30</v>
      </c>
      <c r="J98" s="16" t="s">
        <v>15</v>
      </c>
      <c r="K98" s="17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122</v>
      </c>
      <c r="C99" s="23" t="s">
        <v>22</v>
      </c>
      <c r="D99" s="10">
        <v>45445</v>
      </c>
      <c r="E99" s="8" t="s">
        <v>19</v>
      </c>
      <c r="F99" s="19">
        <v>10</v>
      </c>
      <c r="G99" s="20" t="s">
        <v>20</v>
      </c>
      <c r="H99" s="13" t="s">
        <v>19</v>
      </c>
      <c r="I99" s="15" t="s">
        <v>307</v>
      </c>
      <c r="J99" s="16" t="s">
        <v>15</v>
      </c>
      <c r="K99" s="17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123</v>
      </c>
      <c r="C100" s="23" t="s">
        <v>18</v>
      </c>
      <c r="D100" s="10">
        <v>45446</v>
      </c>
      <c r="E100" s="8" t="s">
        <v>15</v>
      </c>
      <c r="F100" s="19">
        <v>5</v>
      </c>
      <c r="G100" s="20" t="s">
        <v>23</v>
      </c>
      <c r="H100" s="13" t="s">
        <v>19</v>
      </c>
      <c r="I100" s="15" t="s">
        <v>307</v>
      </c>
      <c r="J100" s="16" t="s">
        <v>19</v>
      </c>
      <c r="K100" s="17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124</v>
      </c>
      <c r="C101" s="23" t="s">
        <v>14</v>
      </c>
      <c r="D101" s="10">
        <v>45447</v>
      </c>
      <c r="E101" s="8" t="s">
        <v>19</v>
      </c>
      <c r="F101" s="19">
        <v>15</v>
      </c>
      <c r="G101" s="20" t="s">
        <v>16</v>
      </c>
      <c r="H101" s="13" t="s">
        <v>15</v>
      </c>
      <c r="I101" s="15">
        <v>30</v>
      </c>
      <c r="J101" s="16" t="s">
        <v>15</v>
      </c>
      <c r="K101" s="17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125</v>
      </c>
      <c r="C102" s="23" t="s">
        <v>22</v>
      </c>
      <c r="D102" s="10">
        <v>45448</v>
      </c>
      <c r="E102" s="8" t="s">
        <v>15</v>
      </c>
      <c r="F102" s="19">
        <v>10</v>
      </c>
      <c r="G102" s="20" t="s">
        <v>16</v>
      </c>
      <c r="H102" s="13" t="s">
        <v>19</v>
      </c>
      <c r="I102" s="15" t="s">
        <v>307</v>
      </c>
      <c r="J102" s="16" t="s">
        <v>15</v>
      </c>
      <c r="K102" s="17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126</v>
      </c>
      <c r="C103" s="23" t="s">
        <v>18</v>
      </c>
      <c r="D103" s="10">
        <v>45449</v>
      </c>
      <c r="E103" s="8" t="s">
        <v>19</v>
      </c>
      <c r="F103" s="19">
        <v>5</v>
      </c>
      <c r="G103" s="20" t="s">
        <v>20</v>
      </c>
      <c r="H103" s="13" t="s">
        <v>19</v>
      </c>
      <c r="I103" s="15" t="s">
        <v>307</v>
      </c>
      <c r="J103" s="16" t="s">
        <v>19</v>
      </c>
      <c r="K103" s="17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127</v>
      </c>
      <c r="C104" s="23" t="s">
        <v>14</v>
      </c>
      <c r="D104" s="10">
        <v>45450</v>
      </c>
      <c r="E104" s="8" t="s">
        <v>15</v>
      </c>
      <c r="F104" s="19">
        <v>15</v>
      </c>
      <c r="G104" s="20" t="s">
        <v>23</v>
      </c>
      <c r="H104" s="13" t="s">
        <v>15</v>
      </c>
      <c r="I104" s="15">
        <v>30</v>
      </c>
      <c r="J104" s="16" t="s">
        <v>15</v>
      </c>
      <c r="K104" s="17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128</v>
      </c>
      <c r="C105" s="23" t="s">
        <v>22</v>
      </c>
      <c r="D105" s="10">
        <v>45451</v>
      </c>
      <c r="E105" s="8" t="s">
        <v>19</v>
      </c>
      <c r="F105" s="19">
        <v>10</v>
      </c>
      <c r="G105" s="20" t="s">
        <v>23</v>
      </c>
      <c r="H105" s="13" t="s">
        <v>19</v>
      </c>
      <c r="I105" s="15" t="s">
        <v>307</v>
      </c>
      <c r="J105" s="16" t="s">
        <v>15</v>
      </c>
      <c r="K105" s="17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129</v>
      </c>
      <c r="C106" s="23" t="s">
        <v>18</v>
      </c>
      <c r="D106" s="10">
        <v>45452</v>
      </c>
      <c r="E106" s="8" t="s">
        <v>15</v>
      </c>
      <c r="F106" s="19">
        <v>5</v>
      </c>
      <c r="G106" s="20" t="s">
        <v>16</v>
      </c>
      <c r="H106" s="13" t="s">
        <v>19</v>
      </c>
      <c r="I106" s="15" t="s">
        <v>307</v>
      </c>
      <c r="J106" s="16" t="s">
        <v>19</v>
      </c>
      <c r="K106" s="17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130</v>
      </c>
      <c r="C107" s="23" t="s">
        <v>18</v>
      </c>
      <c r="D107" s="10">
        <v>45453</v>
      </c>
      <c r="E107" s="8" t="s">
        <v>15</v>
      </c>
      <c r="F107" s="19">
        <v>5</v>
      </c>
      <c r="G107" s="20" t="s">
        <v>16</v>
      </c>
      <c r="H107" s="13" t="s">
        <v>19</v>
      </c>
      <c r="I107" s="15" t="s">
        <v>307</v>
      </c>
      <c r="J107" s="16" t="s">
        <v>19</v>
      </c>
      <c r="K107" s="17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131</v>
      </c>
      <c r="C108" s="23" t="s">
        <v>14</v>
      </c>
      <c r="D108" s="10">
        <v>45454</v>
      </c>
      <c r="E108" s="8" t="s">
        <v>19</v>
      </c>
      <c r="F108" s="19">
        <v>15</v>
      </c>
      <c r="G108" s="20" t="s">
        <v>23</v>
      </c>
      <c r="H108" s="13" t="s">
        <v>15</v>
      </c>
      <c r="I108" s="15">
        <v>30</v>
      </c>
      <c r="J108" s="16" t="s">
        <v>15</v>
      </c>
      <c r="K108" s="17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132</v>
      </c>
      <c r="C109" s="23" t="s">
        <v>22</v>
      </c>
      <c r="D109" s="10">
        <v>45455</v>
      </c>
      <c r="E109" s="8" t="s">
        <v>15</v>
      </c>
      <c r="F109" s="19">
        <v>10</v>
      </c>
      <c r="G109" s="20" t="s">
        <v>20</v>
      </c>
      <c r="H109" s="13" t="s">
        <v>19</v>
      </c>
      <c r="I109" s="15" t="s">
        <v>307</v>
      </c>
      <c r="J109" s="16" t="s">
        <v>15</v>
      </c>
      <c r="K109" s="17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133</v>
      </c>
      <c r="C110" s="23" t="s">
        <v>18</v>
      </c>
      <c r="D110" s="10">
        <v>45456</v>
      </c>
      <c r="E110" s="8" t="s">
        <v>19</v>
      </c>
      <c r="F110" s="19">
        <v>5</v>
      </c>
      <c r="G110" s="20" t="s">
        <v>23</v>
      </c>
      <c r="H110" s="13" t="s">
        <v>19</v>
      </c>
      <c r="I110" s="15" t="s">
        <v>307</v>
      </c>
      <c r="J110" s="16" t="s">
        <v>19</v>
      </c>
      <c r="K110" s="17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134</v>
      </c>
      <c r="C111" s="23" t="s">
        <v>14</v>
      </c>
      <c r="D111" s="10">
        <v>45457</v>
      </c>
      <c r="E111" s="8" t="s">
        <v>15</v>
      </c>
      <c r="F111" s="19">
        <v>15</v>
      </c>
      <c r="G111" s="20" t="s">
        <v>16</v>
      </c>
      <c r="H111" s="13" t="s">
        <v>15</v>
      </c>
      <c r="I111" s="15">
        <v>30</v>
      </c>
      <c r="J111" s="16" t="s">
        <v>15</v>
      </c>
      <c r="K111" s="17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135</v>
      </c>
      <c r="C112" s="23" t="s">
        <v>22</v>
      </c>
      <c r="D112" s="10">
        <v>45458</v>
      </c>
      <c r="E112" s="8" t="s">
        <v>19</v>
      </c>
      <c r="F112" s="19">
        <v>10</v>
      </c>
      <c r="G112" s="20" t="s">
        <v>16</v>
      </c>
      <c r="H112" s="13" t="s">
        <v>19</v>
      </c>
      <c r="I112" s="15" t="s">
        <v>307</v>
      </c>
      <c r="J112" s="16" t="s">
        <v>15</v>
      </c>
      <c r="K112" s="17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136</v>
      </c>
      <c r="C113" s="23" t="s">
        <v>18</v>
      </c>
      <c r="D113" s="10">
        <v>45459</v>
      </c>
      <c r="E113" s="8" t="s">
        <v>15</v>
      </c>
      <c r="F113" s="19">
        <v>5</v>
      </c>
      <c r="G113" s="20" t="s">
        <v>20</v>
      </c>
      <c r="H113" s="13" t="s">
        <v>19</v>
      </c>
      <c r="I113" s="15" t="s">
        <v>307</v>
      </c>
      <c r="J113" s="16" t="s">
        <v>19</v>
      </c>
      <c r="K113" s="17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137</v>
      </c>
      <c r="C114" s="23" t="s">
        <v>14</v>
      </c>
      <c r="D114" s="10">
        <v>45460</v>
      </c>
      <c r="E114" s="8" t="s">
        <v>19</v>
      </c>
      <c r="F114" s="19">
        <v>15</v>
      </c>
      <c r="G114" s="20" t="s">
        <v>23</v>
      </c>
      <c r="H114" s="13" t="s">
        <v>15</v>
      </c>
      <c r="I114" s="15">
        <v>30</v>
      </c>
      <c r="J114" s="16" t="s">
        <v>15</v>
      </c>
      <c r="K114" s="17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138</v>
      </c>
      <c r="C115" s="23" t="s">
        <v>22</v>
      </c>
      <c r="D115" s="10">
        <v>45461</v>
      </c>
      <c r="E115" s="8" t="s">
        <v>15</v>
      </c>
      <c r="F115" s="19">
        <v>10</v>
      </c>
      <c r="G115" s="20" t="s">
        <v>23</v>
      </c>
      <c r="H115" s="13" t="s">
        <v>19</v>
      </c>
      <c r="I115" s="15" t="s">
        <v>307</v>
      </c>
      <c r="J115" s="16" t="s">
        <v>15</v>
      </c>
      <c r="K115" s="17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139</v>
      </c>
      <c r="C116" s="23" t="s">
        <v>18</v>
      </c>
      <c r="D116" s="10">
        <v>45462</v>
      </c>
      <c r="E116" s="8" t="s">
        <v>19</v>
      </c>
      <c r="F116" s="19">
        <v>5</v>
      </c>
      <c r="G116" s="20" t="s">
        <v>16</v>
      </c>
      <c r="H116" s="13" t="s">
        <v>19</v>
      </c>
      <c r="I116" s="15" t="s">
        <v>307</v>
      </c>
      <c r="J116" s="16" t="s">
        <v>19</v>
      </c>
      <c r="K116" s="17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140</v>
      </c>
      <c r="C117" s="23" t="s">
        <v>14</v>
      </c>
      <c r="D117" s="10">
        <v>45463</v>
      </c>
      <c r="E117" s="8" t="s">
        <v>15</v>
      </c>
      <c r="F117" s="19">
        <v>15</v>
      </c>
      <c r="G117" s="20" t="s">
        <v>20</v>
      </c>
      <c r="H117" s="13" t="s">
        <v>15</v>
      </c>
      <c r="I117" s="15">
        <v>30</v>
      </c>
      <c r="J117" s="16" t="s">
        <v>15</v>
      </c>
      <c r="K117" s="17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141</v>
      </c>
      <c r="C118" s="23" t="s">
        <v>22</v>
      </c>
      <c r="D118" s="10">
        <v>45464</v>
      </c>
      <c r="E118" s="8" t="s">
        <v>19</v>
      </c>
      <c r="F118" s="19">
        <v>10</v>
      </c>
      <c r="G118" s="20" t="s">
        <v>16</v>
      </c>
      <c r="H118" s="13" t="s">
        <v>19</v>
      </c>
      <c r="I118" s="15" t="s">
        <v>307</v>
      </c>
      <c r="J118" s="16" t="s">
        <v>15</v>
      </c>
      <c r="K118" s="17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142</v>
      </c>
      <c r="C119" s="23" t="s">
        <v>18</v>
      </c>
      <c r="D119" s="10">
        <v>45465</v>
      </c>
      <c r="E119" s="8" t="s">
        <v>15</v>
      </c>
      <c r="F119" s="19">
        <v>5</v>
      </c>
      <c r="G119" s="20" t="s">
        <v>23</v>
      </c>
      <c r="H119" s="13" t="s">
        <v>19</v>
      </c>
      <c r="I119" s="15" t="s">
        <v>307</v>
      </c>
      <c r="J119" s="16" t="s">
        <v>19</v>
      </c>
      <c r="K119" s="17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118</v>
      </c>
      <c r="C120" s="23" t="s">
        <v>14</v>
      </c>
      <c r="D120" s="10">
        <v>45466</v>
      </c>
      <c r="E120" s="8" t="s">
        <v>19</v>
      </c>
      <c r="F120" s="19">
        <v>15</v>
      </c>
      <c r="G120" s="20" t="s">
        <v>16</v>
      </c>
      <c r="H120" s="13" t="s">
        <v>15</v>
      </c>
      <c r="I120" s="15">
        <v>30</v>
      </c>
      <c r="J120" s="16" t="s">
        <v>15</v>
      </c>
      <c r="K120" s="17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143</v>
      </c>
      <c r="C121" s="23" t="s">
        <v>22</v>
      </c>
      <c r="D121" s="10">
        <v>45467</v>
      </c>
      <c r="E121" s="8" t="s">
        <v>15</v>
      </c>
      <c r="F121" s="19">
        <v>10</v>
      </c>
      <c r="G121" s="20" t="s">
        <v>20</v>
      </c>
      <c r="H121" s="13" t="s">
        <v>19</v>
      </c>
      <c r="I121" s="15" t="s">
        <v>307</v>
      </c>
      <c r="J121" s="16" t="s">
        <v>15</v>
      </c>
      <c r="K121" s="17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144</v>
      </c>
      <c r="C122" s="23" t="s">
        <v>18</v>
      </c>
      <c r="D122" s="10">
        <v>45468</v>
      </c>
      <c r="E122" s="8" t="s">
        <v>19</v>
      </c>
      <c r="F122" s="19">
        <v>5</v>
      </c>
      <c r="G122" s="20" t="s">
        <v>16</v>
      </c>
      <c r="H122" s="13" t="s">
        <v>19</v>
      </c>
      <c r="I122" s="15" t="s">
        <v>307</v>
      </c>
      <c r="J122" s="16" t="s">
        <v>19</v>
      </c>
      <c r="K122" s="17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145</v>
      </c>
      <c r="C123" s="23" t="s">
        <v>14</v>
      </c>
      <c r="D123" s="10">
        <v>45469</v>
      </c>
      <c r="E123" s="8" t="s">
        <v>15</v>
      </c>
      <c r="F123" s="19">
        <v>15</v>
      </c>
      <c r="G123" s="20" t="s">
        <v>23</v>
      </c>
      <c r="H123" s="13" t="s">
        <v>15</v>
      </c>
      <c r="I123" s="15">
        <v>30</v>
      </c>
      <c r="J123" s="16" t="s">
        <v>15</v>
      </c>
      <c r="K123" s="17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146</v>
      </c>
      <c r="C124" s="23" t="s">
        <v>22</v>
      </c>
      <c r="D124" s="10">
        <v>45470</v>
      </c>
      <c r="E124" s="8" t="s">
        <v>19</v>
      </c>
      <c r="F124" s="19">
        <v>10</v>
      </c>
      <c r="G124" s="20" t="s">
        <v>16</v>
      </c>
      <c r="H124" s="13" t="s">
        <v>19</v>
      </c>
      <c r="I124" s="15" t="s">
        <v>307</v>
      </c>
      <c r="J124" s="16" t="s">
        <v>15</v>
      </c>
      <c r="K124" s="17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147</v>
      </c>
      <c r="C125" s="23" t="s">
        <v>18</v>
      </c>
      <c r="D125" s="10">
        <v>45471</v>
      </c>
      <c r="E125" s="8" t="s">
        <v>15</v>
      </c>
      <c r="F125" s="19">
        <v>5</v>
      </c>
      <c r="G125" s="20" t="s">
        <v>20</v>
      </c>
      <c r="H125" s="13" t="s">
        <v>19</v>
      </c>
      <c r="I125" s="15" t="s">
        <v>307</v>
      </c>
      <c r="J125" s="16" t="s">
        <v>19</v>
      </c>
      <c r="K125" s="17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148</v>
      </c>
      <c r="C126" s="23" t="s">
        <v>14</v>
      </c>
      <c r="D126" s="10">
        <v>45472</v>
      </c>
      <c r="E126" s="8" t="s">
        <v>19</v>
      </c>
      <c r="F126" s="19">
        <v>15</v>
      </c>
      <c r="G126" s="20" t="s">
        <v>16</v>
      </c>
      <c r="H126" s="13" t="s">
        <v>15</v>
      </c>
      <c r="I126" s="15">
        <v>30</v>
      </c>
      <c r="J126" s="16" t="s">
        <v>15</v>
      </c>
      <c r="K126" s="17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149</v>
      </c>
      <c r="C127" s="23" t="s">
        <v>22</v>
      </c>
      <c r="D127" s="10">
        <v>45473</v>
      </c>
      <c r="E127" s="8" t="s">
        <v>15</v>
      </c>
      <c r="F127" s="19">
        <v>10</v>
      </c>
      <c r="G127" s="20" t="s">
        <v>23</v>
      </c>
      <c r="H127" s="13" t="s">
        <v>19</v>
      </c>
      <c r="I127" s="15" t="s">
        <v>307</v>
      </c>
      <c r="J127" s="16" t="s">
        <v>15</v>
      </c>
      <c r="K127" s="17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150</v>
      </c>
      <c r="C128" s="23" t="s">
        <v>18</v>
      </c>
      <c r="D128" s="10">
        <v>45474</v>
      </c>
      <c r="E128" s="8" t="s">
        <v>19</v>
      </c>
      <c r="F128" s="19">
        <v>5</v>
      </c>
      <c r="G128" s="20" t="s">
        <v>16</v>
      </c>
      <c r="H128" s="13" t="s">
        <v>19</v>
      </c>
      <c r="I128" s="15" t="s">
        <v>307</v>
      </c>
      <c r="J128" s="16" t="s">
        <v>19</v>
      </c>
      <c r="K128" s="17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151</v>
      </c>
      <c r="C129" s="23" t="s">
        <v>14</v>
      </c>
      <c r="D129" s="10">
        <v>45475</v>
      </c>
      <c r="E129" s="8" t="s">
        <v>15</v>
      </c>
      <c r="F129" s="19">
        <v>15</v>
      </c>
      <c r="G129" s="20" t="s">
        <v>20</v>
      </c>
      <c r="H129" s="13" t="s">
        <v>15</v>
      </c>
      <c r="I129" s="15">
        <v>30</v>
      </c>
      <c r="J129" s="16" t="s">
        <v>15</v>
      </c>
      <c r="K129" s="17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152</v>
      </c>
      <c r="C130" s="23" t="s">
        <v>22</v>
      </c>
      <c r="D130" s="10">
        <v>45476</v>
      </c>
      <c r="E130" s="8" t="s">
        <v>19</v>
      </c>
      <c r="F130" s="19">
        <v>10</v>
      </c>
      <c r="G130" s="20" t="s">
        <v>16</v>
      </c>
      <c r="H130" s="13" t="s">
        <v>19</v>
      </c>
      <c r="I130" s="15" t="s">
        <v>307</v>
      </c>
      <c r="J130" s="16" t="s">
        <v>15</v>
      </c>
      <c r="K130" s="17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153</v>
      </c>
      <c r="C131" s="23" t="s">
        <v>18</v>
      </c>
      <c r="D131" s="10">
        <v>45477</v>
      </c>
      <c r="E131" s="8" t="s">
        <v>15</v>
      </c>
      <c r="F131" s="19">
        <v>5</v>
      </c>
      <c r="G131" s="20" t="s">
        <v>23</v>
      </c>
      <c r="H131" s="13" t="s">
        <v>19</v>
      </c>
      <c r="I131" s="15" t="s">
        <v>307</v>
      </c>
      <c r="J131" s="16" t="s">
        <v>19</v>
      </c>
      <c r="K131" s="17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154</v>
      </c>
      <c r="C132" s="23" t="s">
        <v>14</v>
      </c>
      <c r="D132" s="10">
        <v>45478</v>
      </c>
      <c r="E132" s="8" t="s">
        <v>19</v>
      </c>
      <c r="F132" s="19">
        <v>15</v>
      </c>
      <c r="G132" s="20" t="s">
        <v>16</v>
      </c>
      <c r="H132" s="13" t="s">
        <v>15</v>
      </c>
      <c r="I132" s="15">
        <v>30</v>
      </c>
      <c r="J132" s="16" t="s">
        <v>15</v>
      </c>
      <c r="K132" s="17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155</v>
      </c>
      <c r="C133" s="23" t="s">
        <v>22</v>
      </c>
      <c r="D133" s="10">
        <v>45479</v>
      </c>
      <c r="E133" s="8" t="s">
        <v>15</v>
      </c>
      <c r="F133" s="19">
        <v>10</v>
      </c>
      <c r="G133" s="20" t="s">
        <v>20</v>
      </c>
      <c r="H133" s="13" t="s">
        <v>19</v>
      </c>
      <c r="I133" s="15" t="s">
        <v>307</v>
      </c>
      <c r="J133" s="16" t="s">
        <v>15</v>
      </c>
      <c r="K133" s="17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156</v>
      </c>
      <c r="C134" s="23" t="s">
        <v>18</v>
      </c>
      <c r="D134" s="10">
        <v>45480</v>
      </c>
      <c r="E134" s="8" t="s">
        <v>19</v>
      </c>
      <c r="F134" s="19">
        <v>5</v>
      </c>
      <c r="G134" s="20" t="s">
        <v>16</v>
      </c>
      <c r="H134" s="13" t="s">
        <v>19</v>
      </c>
      <c r="I134" s="15" t="s">
        <v>307</v>
      </c>
      <c r="J134" s="16" t="s">
        <v>19</v>
      </c>
      <c r="K134" s="17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157</v>
      </c>
      <c r="C135" s="23" t="s">
        <v>14</v>
      </c>
      <c r="D135" s="10">
        <v>45481</v>
      </c>
      <c r="E135" s="8" t="s">
        <v>15</v>
      </c>
      <c r="F135" s="19">
        <v>15</v>
      </c>
      <c r="G135" s="20" t="s">
        <v>23</v>
      </c>
      <c r="H135" s="13" t="s">
        <v>15</v>
      </c>
      <c r="I135" s="15">
        <v>30</v>
      </c>
      <c r="J135" s="16" t="s">
        <v>15</v>
      </c>
      <c r="K135" s="17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158</v>
      </c>
      <c r="C136" s="23" t="s">
        <v>22</v>
      </c>
      <c r="D136" s="10">
        <v>45482</v>
      </c>
      <c r="E136" s="8" t="s">
        <v>19</v>
      </c>
      <c r="F136" s="19">
        <v>10</v>
      </c>
      <c r="G136" s="20" t="s">
        <v>16</v>
      </c>
      <c r="H136" s="13" t="s">
        <v>19</v>
      </c>
      <c r="I136" s="15" t="s">
        <v>307</v>
      </c>
      <c r="J136" s="16" t="s">
        <v>15</v>
      </c>
      <c r="K136" s="17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159</v>
      </c>
      <c r="C137" s="23" t="s">
        <v>18</v>
      </c>
      <c r="D137" s="10">
        <v>45483</v>
      </c>
      <c r="E137" s="8" t="s">
        <v>15</v>
      </c>
      <c r="F137" s="19">
        <v>5</v>
      </c>
      <c r="G137" s="20" t="s">
        <v>16</v>
      </c>
      <c r="H137" s="13" t="s">
        <v>19</v>
      </c>
      <c r="I137" s="15" t="s">
        <v>307</v>
      </c>
      <c r="J137" s="16" t="s">
        <v>19</v>
      </c>
      <c r="K137" s="17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160</v>
      </c>
      <c r="C138" s="23" t="s">
        <v>14</v>
      </c>
      <c r="D138" s="10">
        <v>45484</v>
      </c>
      <c r="E138" s="8" t="s">
        <v>19</v>
      </c>
      <c r="F138" s="19">
        <v>15</v>
      </c>
      <c r="G138" s="20" t="s">
        <v>23</v>
      </c>
      <c r="H138" s="13" t="s">
        <v>15</v>
      </c>
      <c r="I138" s="15">
        <v>30</v>
      </c>
      <c r="J138" s="16" t="s">
        <v>15</v>
      </c>
      <c r="K138" s="17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161</v>
      </c>
      <c r="C139" s="23" t="s">
        <v>22</v>
      </c>
      <c r="D139" s="10">
        <v>45485</v>
      </c>
      <c r="E139" s="8" t="s">
        <v>15</v>
      </c>
      <c r="F139" s="19">
        <v>10</v>
      </c>
      <c r="G139" s="20" t="s">
        <v>20</v>
      </c>
      <c r="H139" s="13" t="s">
        <v>19</v>
      </c>
      <c r="I139" s="15" t="s">
        <v>307</v>
      </c>
      <c r="J139" s="16" t="s">
        <v>15</v>
      </c>
      <c r="K139" s="17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162</v>
      </c>
      <c r="C140" s="23" t="s">
        <v>18</v>
      </c>
      <c r="D140" s="10">
        <v>45486</v>
      </c>
      <c r="E140" s="8" t="s">
        <v>19</v>
      </c>
      <c r="F140" s="19">
        <v>5</v>
      </c>
      <c r="G140" s="20" t="s">
        <v>23</v>
      </c>
      <c r="H140" s="13" t="s">
        <v>19</v>
      </c>
      <c r="I140" s="15" t="s">
        <v>307</v>
      </c>
      <c r="J140" s="16" t="s">
        <v>19</v>
      </c>
      <c r="K140" s="17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163</v>
      </c>
      <c r="C141" s="23" t="s">
        <v>14</v>
      </c>
      <c r="D141" s="10">
        <v>45487</v>
      </c>
      <c r="E141" s="8" t="s">
        <v>15</v>
      </c>
      <c r="F141" s="19">
        <v>15</v>
      </c>
      <c r="G141" s="20" t="s">
        <v>16</v>
      </c>
      <c r="H141" s="13" t="s">
        <v>15</v>
      </c>
      <c r="I141" s="15">
        <v>30</v>
      </c>
      <c r="J141" s="16" t="s">
        <v>15</v>
      </c>
      <c r="K141" s="17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164</v>
      </c>
      <c r="C142" s="23" t="s">
        <v>22</v>
      </c>
      <c r="D142" s="10">
        <v>45488</v>
      </c>
      <c r="E142" s="8" t="s">
        <v>19</v>
      </c>
      <c r="F142" s="19">
        <v>10</v>
      </c>
      <c r="G142" s="20" t="s">
        <v>16</v>
      </c>
      <c r="H142" s="13" t="s">
        <v>19</v>
      </c>
      <c r="I142" s="15" t="s">
        <v>307</v>
      </c>
      <c r="J142" s="16" t="s">
        <v>15</v>
      </c>
      <c r="K142" s="17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165</v>
      </c>
      <c r="C143" s="23" t="s">
        <v>18</v>
      </c>
      <c r="D143" s="10">
        <v>45489</v>
      </c>
      <c r="E143" s="8" t="s">
        <v>15</v>
      </c>
      <c r="F143" s="19">
        <v>5</v>
      </c>
      <c r="G143" s="20" t="s">
        <v>20</v>
      </c>
      <c r="H143" s="13" t="s">
        <v>19</v>
      </c>
      <c r="I143" s="15" t="s">
        <v>307</v>
      </c>
      <c r="J143" s="16" t="s">
        <v>19</v>
      </c>
      <c r="K143" s="17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166</v>
      </c>
      <c r="C144" s="23" t="s">
        <v>14</v>
      </c>
      <c r="D144" s="10">
        <v>45490</v>
      </c>
      <c r="E144" s="8" t="s">
        <v>19</v>
      </c>
      <c r="F144" s="19">
        <v>15</v>
      </c>
      <c r="G144" s="20" t="s">
        <v>23</v>
      </c>
      <c r="H144" s="13" t="s">
        <v>15</v>
      </c>
      <c r="I144" s="15">
        <v>30</v>
      </c>
      <c r="J144" s="16" t="s">
        <v>15</v>
      </c>
      <c r="K144" s="17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167</v>
      </c>
      <c r="C145" s="23" t="s">
        <v>22</v>
      </c>
      <c r="D145" s="10">
        <v>45491</v>
      </c>
      <c r="E145" s="8" t="s">
        <v>15</v>
      </c>
      <c r="F145" s="19">
        <v>10</v>
      </c>
      <c r="G145" s="20" t="s">
        <v>23</v>
      </c>
      <c r="H145" s="13" t="s">
        <v>19</v>
      </c>
      <c r="I145" s="15" t="s">
        <v>307</v>
      </c>
      <c r="J145" s="16" t="s">
        <v>15</v>
      </c>
      <c r="K145" s="17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168</v>
      </c>
      <c r="C146" s="23" t="s">
        <v>18</v>
      </c>
      <c r="D146" s="10">
        <v>45492</v>
      </c>
      <c r="E146" s="8" t="s">
        <v>19</v>
      </c>
      <c r="F146" s="19">
        <v>5</v>
      </c>
      <c r="G146" s="20" t="s">
        <v>16</v>
      </c>
      <c r="H146" s="13" t="s">
        <v>19</v>
      </c>
      <c r="I146" s="15" t="s">
        <v>307</v>
      </c>
      <c r="J146" s="16" t="s">
        <v>19</v>
      </c>
      <c r="K146" s="17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169</v>
      </c>
      <c r="C147" s="23" t="s">
        <v>14</v>
      </c>
      <c r="D147" s="10">
        <v>45493</v>
      </c>
      <c r="E147" s="8" t="s">
        <v>15</v>
      </c>
      <c r="F147" s="19">
        <v>15</v>
      </c>
      <c r="G147" s="20" t="s">
        <v>20</v>
      </c>
      <c r="H147" s="13" t="s">
        <v>15</v>
      </c>
      <c r="I147" s="15">
        <v>30</v>
      </c>
      <c r="J147" s="16" t="s">
        <v>15</v>
      </c>
      <c r="K147" s="17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170</v>
      </c>
      <c r="C148" s="23" t="s">
        <v>22</v>
      </c>
      <c r="D148" s="10">
        <v>45494</v>
      </c>
      <c r="E148" s="8" t="s">
        <v>19</v>
      </c>
      <c r="F148" s="19">
        <v>10</v>
      </c>
      <c r="G148" s="20" t="s">
        <v>16</v>
      </c>
      <c r="H148" s="13" t="s">
        <v>19</v>
      </c>
      <c r="I148" s="15" t="s">
        <v>307</v>
      </c>
      <c r="J148" s="16" t="s">
        <v>15</v>
      </c>
      <c r="K148" s="17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171</v>
      </c>
      <c r="C149" s="23" t="s">
        <v>18</v>
      </c>
      <c r="D149" s="10">
        <v>45495</v>
      </c>
      <c r="E149" s="8" t="s">
        <v>15</v>
      </c>
      <c r="F149" s="19">
        <v>5</v>
      </c>
      <c r="G149" s="20" t="s">
        <v>23</v>
      </c>
      <c r="H149" s="13" t="s">
        <v>19</v>
      </c>
      <c r="I149" s="15" t="s">
        <v>307</v>
      </c>
      <c r="J149" s="16" t="s">
        <v>19</v>
      </c>
      <c r="K149" s="17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172</v>
      </c>
      <c r="C150" s="23" t="s">
        <v>14</v>
      </c>
      <c r="D150" s="10">
        <v>45496</v>
      </c>
      <c r="E150" s="8" t="s">
        <v>19</v>
      </c>
      <c r="F150" s="19">
        <v>15</v>
      </c>
      <c r="G150" s="20" t="s">
        <v>16</v>
      </c>
      <c r="H150" s="13" t="s">
        <v>15</v>
      </c>
      <c r="I150" s="15">
        <v>30</v>
      </c>
      <c r="J150" s="16" t="s">
        <v>15</v>
      </c>
      <c r="K150" s="17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173</v>
      </c>
      <c r="C151" s="23" t="s">
        <v>22</v>
      </c>
      <c r="D151" s="10">
        <v>45497</v>
      </c>
      <c r="E151" s="8" t="s">
        <v>15</v>
      </c>
      <c r="F151" s="19">
        <v>10</v>
      </c>
      <c r="G151" s="20" t="s">
        <v>20</v>
      </c>
      <c r="H151" s="13" t="s">
        <v>19</v>
      </c>
      <c r="I151" s="15" t="s">
        <v>307</v>
      </c>
      <c r="J151" s="16" t="s">
        <v>15</v>
      </c>
      <c r="K151" s="17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174</v>
      </c>
      <c r="C152" s="23" t="s">
        <v>18</v>
      </c>
      <c r="D152" s="10">
        <v>45498</v>
      </c>
      <c r="E152" s="8" t="s">
        <v>19</v>
      </c>
      <c r="F152" s="19">
        <v>5</v>
      </c>
      <c r="G152" s="20" t="s">
        <v>16</v>
      </c>
      <c r="H152" s="13" t="s">
        <v>19</v>
      </c>
      <c r="I152" s="15" t="s">
        <v>307</v>
      </c>
      <c r="J152" s="16" t="s">
        <v>19</v>
      </c>
      <c r="K152" s="17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175</v>
      </c>
      <c r="C153" s="23" t="s">
        <v>14</v>
      </c>
      <c r="D153" s="10">
        <v>45499</v>
      </c>
      <c r="E153" s="8" t="s">
        <v>15</v>
      </c>
      <c r="F153" s="19">
        <v>15</v>
      </c>
      <c r="G153" s="20" t="s">
        <v>23</v>
      </c>
      <c r="H153" s="13" t="s">
        <v>15</v>
      </c>
      <c r="I153" s="15">
        <v>30</v>
      </c>
      <c r="J153" s="16" t="s">
        <v>15</v>
      </c>
      <c r="K153" s="17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176</v>
      </c>
      <c r="C154" s="23" t="s">
        <v>22</v>
      </c>
      <c r="D154" s="10">
        <v>45500</v>
      </c>
      <c r="E154" s="8" t="s">
        <v>19</v>
      </c>
      <c r="F154" s="19">
        <v>10</v>
      </c>
      <c r="G154" s="20" t="s">
        <v>16</v>
      </c>
      <c r="H154" s="13" t="s">
        <v>19</v>
      </c>
      <c r="I154" s="15" t="s">
        <v>307</v>
      </c>
      <c r="J154" s="16" t="s">
        <v>15</v>
      </c>
      <c r="K154" s="17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177</v>
      </c>
      <c r="C155" s="23" t="s">
        <v>18</v>
      </c>
      <c r="D155" s="10">
        <v>45501</v>
      </c>
      <c r="E155" s="8" t="s">
        <v>15</v>
      </c>
      <c r="F155" s="19">
        <v>5</v>
      </c>
      <c r="G155" s="20" t="s">
        <v>20</v>
      </c>
      <c r="H155" s="13" t="s">
        <v>19</v>
      </c>
      <c r="I155" s="15" t="s">
        <v>307</v>
      </c>
      <c r="J155" s="16" t="s">
        <v>19</v>
      </c>
      <c r="K155" s="17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178</v>
      </c>
      <c r="C156" s="23" t="s">
        <v>14</v>
      </c>
      <c r="D156" s="10">
        <v>45502</v>
      </c>
      <c r="E156" s="8" t="s">
        <v>19</v>
      </c>
      <c r="F156" s="19">
        <v>15</v>
      </c>
      <c r="G156" s="20" t="s">
        <v>16</v>
      </c>
      <c r="H156" s="13" t="s">
        <v>15</v>
      </c>
      <c r="I156" s="15">
        <v>30</v>
      </c>
      <c r="J156" s="16" t="s">
        <v>15</v>
      </c>
      <c r="K156" s="17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179</v>
      </c>
      <c r="C157" s="23" t="s">
        <v>22</v>
      </c>
      <c r="D157" s="10">
        <v>45503</v>
      </c>
      <c r="E157" s="8" t="s">
        <v>15</v>
      </c>
      <c r="F157" s="19">
        <v>10</v>
      </c>
      <c r="G157" s="20" t="s">
        <v>23</v>
      </c>
      <c r="H157" s="13" t="s">
        <v>19</v>
      </c>
      <c r="I157" s="15" t="s">
        <v>307</v>
      </c>
      <c r="J157" s="16" t="s">
        <v>15</v>
      </c>
      <c r="K157" s="17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180</v>
      </c>
      <c r="C158" s="23" t="s">
        <v>18</v>
      </c>
      <c r="D158" s="10">
        <v>45504</v>
      </c>
      <c r="E158" s="8" t="s">
        <v>19</v>
      </c>
      <c r="F158" s="19">
        <v>5</v>
      </c>
      <c r="G158" s="20" t="s">
        <v>16</v>
      </c>
      <c r="H158" s="13" t="s">
        <v>19</v>
      </c>
      <c r="I158" s="15" t="s">
        <v>307</v>
      </c>
      <c r="J158" s="16" t="s">
        <v>19</v>
      </c>
      <c r="K158" s="17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181</v>
      </c>
      <c r="C159" s="23" t="s">
        <v>14</v>
      </c>
      <c r="D159" s="10">
        <v>45505</v>
      </c>
      <c r="E159" s="8" t="s">
        <v>15</v>
      </c>
      <c r="F159" s="19">
        <v>15</v>
      </c>
      <c r="G159" s="20" t="s">
        <v>20</v>
      </c>
      <c r="H159" s="13" t="s">
        <v>15</v>
      </c>
      <c r="I159" s="15">
        <v>30</v>
      </c>
      <c r="J159" s="16" t="s">
        <v>15</v>
      </c>
      <c r="K159" s="17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182</v>
      </c>
      <c r="C160" s="23" t="s">
        <v>22</v>
      </c>
      <c r="D160" s="10">
        <v>45506</v>
      </c>
      <c r="E160" s="8" t="s">
        <v>19</v>
      </c>
      <c r="F160" s="19">
        <v>10</v>
      </c>
      <c r="G160" s="20" t="s">
        <v>16</v>
      </c>
      <c r="H160" s="13" t="s">
        <v>19</v>
      </c>
      <c r="I160" s="15" t="s">
        <v>307</v>
      </c>
      <c r="J160" s="16" t="s">
        <v>15</v>
      </c>
      <c r="K160" s="17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183</v>
      </c>
      <c r="C161" s="23" t="s">
        <v>18</v>
      </c>
      <c r="D161" s="10">
        <v>45507</v>
      </c>
      <c r="E161" s="8" t="s">
        <v>15</v>
      </c>
      <c r="F161" s="19">
        <v>5</v>
      </c>
      <c r="G161" s="20" t="s">
        <v>23</v>
      </c>
      <c r="H161" s="13" t="s">
        <v>19</v>
      </c>
      <c r="I161" s="15" t="s">
        <v>307</v>
      </c>
      <c r="J161" s="16" t="s">
        <v>19</v>
      </c>
      <c r="K161" s="17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83</v>
      </c>
      <c r="C162" s="23" t="s">
        <v>14</v>
      </c>
      <c r="D162" s="10">
        <v>45508</v>
      </c>
      <c r="E162" s="8" t="s">
        <v>19</v>
      </c>
      <c r="F162" s="19">
        <v>15</v>
      </c>
      <c r="G162" s="20" t="s">
        <v>16</v>
      </c>
      <c r="H162" s="13" t="s">
        <v>15</v>
      </c>
      <c r="I162" s="15">
        <v>30</v>
      </c>
      <c r="J162" s="16" t="s">
        <v>15</v>
      </c>
      <c r="K162" s="17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184</v>
      </c>
      <c r="C163" s="23" t="s">
        <v>22</v>
      </c>
      <c r="D163" s="10">
        <v>45509</v>
      </c>
      <c r="E163" s="8" t="s">
        <v>15</v>
      </c>
      <c r="F163" s="19">
        <v>10</v>
      </c>
      <c r="G163" s="20" t="s">
        <v>20</v>
      </c>
      <c r="H163" s="13" t="s">
        <v>19</v>
      </c>
      <c r="I163" s="15" t="s">
        <v>307</v>
      </c>
      <c r="J163" s="16" t="s">
        <v>15</v>
      </c>
      <c r="K163" s="17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185</v>
      </c>
      <c r="C164" s="23" t="s">
        <v>18</v>
      </c>
      <c r="D164" s="10">
        <v>45510</v>
      </c>
      <c r="E164" s="8" t="s">
        <v>19</v>
      </c>
      <c r="F164" s="19">
        <v>5</v>
      </c>
      <c r="G164" s="20" t="s">
        <v>16</v>
      </c>
      <c r="H164" s="13" t="s">
        <v>19</v>
      </c>
      <c r="I164" s="15" t="s">
        <v>307</v>
      </c>
      <c r="J164" s="16" t="s">
        <v>19</v>
      </c>
      <c r="K164" s="17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186</v>
      </c>
      <c r="C165" s="23" t="s">
        <v>14</v>
      </c>
      <c r="D165" s="10">
        <v>45511</v>
      </c>
      <c r="E165" s="8" t="s">
        <v>15</v>
      </c>
      <c r="F165" s="19">
        <v>15</v>
      </c>
      <c r="G165" s="20" t="s">
        <v>23</v>
      </c>
      <c r="H165" s="13" t="s">
        <v>15</v>
      </c>
      <c r="I165" s="15">
        <v>30</v>
      </c>
      <c r="J165" s="16" t="s">
        <v>15</v>
      </c>
      <c r="K165" s="17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187</v>
      </c>
      <c r="C166" s="23" t="s">
        <v>22</v>
      </c>
      <c r="D166" s="10">
        <v>45512</v>
      </c>
      <c r="E166" s="8" t="s">
        <v>19</v>
      </c>
      <c r="F166" s="19">
        <v>10</v>
      </c>
      <c r="G166" s="20" t="s">
        <v>16</v>
      </c>
      <c r="H166" s="13" t="s">
        <v>19</v>
      </c>
      <c r="I166" s="15" t="s">
        <v>307</v>
      </c>
      <c r="J166" s="16" t="s">
        <v>15</v>
      </c>
      <c r="K166" s="17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188</v>
      </c>
      <c r="C167" s="23" t="s">
        <v>18</v>
      </c>
      <c r="D167" s="10">
        <v>45513</v>
      </c>
      <c r="E167" s="8" t="s">
        <v>15</v>
      </c>
      <c r="F167" s="19">
        <v>5</v>
      </c>
      <c r="G167" s="20" t="s">
        <v>20</v>
      </c>
      <c r="H167" s="13" t="s">
        <v>19</v>
      </c>
      <c r="I167" s="15" t="s">
        <v>307</v>
      </c>
      <c r="J167" s="16" t="s">
        <v>19</v>
      </c>
      <c r="K167" s="17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115</v>
      </c>
      <c r="C168" s="23" t="s">
        <v>14</v>
      </c>
      <c r="D168" s="10">
        <v>45514</v>
      </c>
      <c r="E168" s="8" t="s">
        <v>19</v>
      </c>
      <c r="F168" s="19">
        <v>15</v>
      </c>
      <c r="G168" s="20" t="s">
        <v>16</v>
      </c>
      <c r="H168" s="13" t="s">
        <v>15</v>
      </c>
      <c r="I168" s="15">
        <v>30</v>
      </c>
      <c r="J168" s="16" t="s">
        <v>15</v>
      </c>
      <c r="K168" s="17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189</v>
      </c>
      <c r="C169" s="23" t="s">
        <v>22</v>
      </c>
      <c r="D169" s="10">
        <v>45515</v>
      </c>
      <c r="E169" s="8" t="s">
        <v>15</v>
      </c>
      <c r="F169" s="19">
        <v>10</v>
      </c>
      <c r="G169" s="20" t="s">
        <v>23</v>
      </c>
      <c r="H169" s="13" t="s">
        <v>19</v>
      </c>
      <c r="I169" s="15" t="s">
        <v>307</v>
      </c>
      <c r="J169" s="16" t="s">
        <v>15</v>
      </c>
      <c r="K169" s="17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190</v>
      </c>
      <c r="C170" s="23" t="s">
        <v>18</v>
      </c>
      <c r="D170" s="10">
        <v>45516</v>
      </c>
      <c r="E170" s="8" t="s">
        <v>19</v>
      </c>
      <c r="F170" s="19">
        <v>5</v>
      </c>
      <c r="G170" s="20" t="s">
        <v>16</v>
      </c>
      <c r="H170" s="13" t="s">
        <v>19</v>
      </c>
      <c r="I170" s="15" t="s">
        <v>307</v>
      </c>
      <c r="J170" s="16" t="s">
        <v>19</v>
      </c>
      <c r="K170" s="17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191</v>
      </c>
      <c r="C171" s="23" t="s">
        <v>14</v>
      </c>
      <c r="D171" s="10">
        <v>45517</v>
      </c>
      <c r="E171" s="8" t="s">
        <v>15</v>
      </c>
      <c r="F171" s="19">
        <v>15</v>
      </c>
      <c r="G171" s="20" t="s">
        <v>20</v>
      </c>
      <c r="H171" s="13" t="s">
        <v>15</v>
      </c>
      <c r="I171" s="15">
        <v>30</v>
      </c>
      <c r="J171" s="16" t="s">
        <v>15</v>
      </c>
      <c r="K171" s="17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192</v>
      </c>
      <c r="C172" s="23" t="s">
        <v>22</v>
      </c>
      <c r="D172" s="10">
        <v>45518</v>
      </c>
      <c r="E172" s="8" t="s">
        <v>19</v>
      </c>
      <c r="F172" s="19">
        <v>10</v>
      </c>
      <c r="G172" s="20" t="s">
        <v>16</v>
      </c>
      <c r="H172" s="13" t="s">
        <v>19</v>
      </c>
      <c r="I172" s="15" t="s">
        <v>307</v>
      </c>
      <c r="J172" s="16" t="s">
        <v>15</v>
      </c>
      <c r="K172" s="17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193</v>
      </c>
      <c r="C173" s="23" t="s">
        <v>18</v>
      </c>
      <c r="D173" s="10">
        <v>45519</v>
      </c>
      <c r="E173" s="8" t="s">
        <v>15</v>
      </c>
      <c r="F173" s="19">
        <v>5</v>
      </c>
      <c r="G173" s="20" t="s">
        <v>23</v>
      </c>
      <c r="H173" s="13" t="s">
        <v>19</v>
      </c>
      <c r="I173" s="15" t="s">
        <v>307</v>
      </c>
      <c r="J173" s="16" t="s">
        <v>19</v>
      </c>
      <c r="K173" s="17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194</v>
      </c>
      <c r="C174" s="23" t="s">
        <v>14</v>
      </c>
      <c r="D174" s="10">
        <v>45520</v>
      </c>
      <c r="E174" s="8" t="s">
        <v>19</v>
      </c>
      <c r="F174" s="19">
        <v>15</v>
      </c>
      <c r="G174" s="20" t="s">
        <v>16</v>
      </c>
      <c r="H174" s="13" t="s">
        <v>15</v>
      </c>
      <c r="I174" s="15">
        <v>30</v>
      </c>
      <c r="J174" s="16" t="s">
        <v>15</v>
      </c>
      <c r="K174" s="17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195</v>
      </c>
      <c r="C175" s="23" t="s">
        <v>22</v>
      </c>
      <c r="D175" s="10">
        <v>45521</v>
      </c>
      <c r="E175" s="8" t="s">
        <v>15</v>
      </c>
      <c r="F175" s="19">
        <v>10</v>
      </c>
      <c r="G175" s="20" t="s">
        <v>20</v>
      </c>
      <c r="H175" s="13" t="s">
        <v>19</v>
      </c>
      <c r="I175" s="15" t="s">
        <v>307</v>
      </c>
      <c r="J175" s="16" t="s">
        <v>15</v>
      </c>
      <c r="K175" s="17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196</v>
      </c>
      <c r="C176" s="23" t="s">
        <v>18</v>
      </c>
      <c r="D176" s="10">
        <v>45522</v>
      </c>
      <c r="E176" s="8" t="s">
        <v>19</v>
      </c>
      <c r="F176" s="19">
        <v>5</v>
      </c>
      <c r="G176" s="20" t="s">
        <v>16</v>
      </c>
      <c r="H176" s="13" t="s">
        <v>19</v>
      </c>
      <c r="I176" s="15" t="s">
        <v>307</v>
      </c>
      <c r="J176" s="16" t="s">
        <v>19</v>
      </c>
      <c r="K176" s="17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197</v>
      </c>
      <c r="C177" s="23" t="s">
        <v>18</v>
      </c>
      <c r="D177" s="10">
        <v>45523</v>
      </c>
      <c r="E177" s="8" t="s">
        <v>15</v>
      </c>
      <c r="F177" s="19">
        <v>5</v>
      </c>
      <c r="G177" s="20" t="s">
        <v>16</v>
      </c>
      <c r="H177" s="13" t="s">
        <v>19</v>
      </c>
      <c r="I177" s="15" t="s">
        <v>307</v>
      </c>
      <c r="J177" s="16" t="s">
        <v>19</v>
      </c>
      <c r="K177" s="17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198</v>
      </c>
      <c r="C178" s="23" t="s">
        <v>14</v>
      </c>
      <c r="D178" s="10">
        <v>45524</v>
      </c>
      <c r="E178" s="8" t="s">
        <v>19</v>
      </c>
      <c r="F178" s="19">
        <v>15</v>
      </c>
      <c r="G178" s="20" t="s">
        <v>23</v>
      </c>
      <c r="H178" s="13" t="s">
        <v>15</v>
      </c>
      <c r="I178" s="15">
        <v>30</v>
      </c>
      <c r="J178" s="16" t="s">
        <v>15</v>
      </c>
      <c r="K178" s="17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199</v>
      </c>
      <c r="C179" s="23" t="s">
        <v>22</v>
      </c>
      <c r="D179" s="10">
        <v>45525</v>
      </c>
      <c r="E179" s="8" t="s">
        <v>15</v>
      </c>
      <c r="F179" s="19">
        <v>10</v>
      </c>
      <c r="G179" s="20" t="s">
        <v>20</v>
      </c>
      <c r="H179" s="13" t="s">
        <v>19</v>
      </c>
      <c r="I179" s="15" t="s">
        <v>307</v>
      </c>
      <c r="J179" s="16" t="s">
        <v>15</v>
      </c>
      <c r="K179" s="17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200</v>
      </c>
      <c r="C180" s="23" t="s">
        <v>18</v>
      </c>
      <c r="D180" s="10">
        <v>45526</v>
      </c>
      <c r="E180" s="8" t="s">
        <v>19</v>
      </c>
      <c r="F180" s="19">
        <v>5</v>
      </c>
      <c r="G180" s="20" t="s">
        <v>23</v>
      </c>
      <c r="H180" s="13" t="s">
        <v>19</v>
      </c>
      <c r="I180" s="15" t="s">
        <v>307</v>
      </c>
      <c r="J180" s="16" t="s">
        <v>19</v>
      </c>
      <c r="K180" s="17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201</v>
      </c>
      <c r="C181" s="23" t="s">
        <v>14</v>
      </c>
      <c r="D181" s="10">
        <v>45527</v>
      </c>
      <c r="E181" s="8" t="s">
        <v>15</v>
      </c>
      <c r="F181" s="19">
        <v>15</v>
      </c>
      <c r="G181" s="20" t="s">
        <v>16</v>
      </c>
      <c r="H181" s="13" t="s">
        <v>15</v>
      </c>
      <c r="I181" s="15">
        <v>30</v>
      </c>
      <c r="J181" s="16" t="s">
        <v>15</v>
      </c>
      <c r="K181" s="17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202</v>
      </c>
      <c r="C182" s="23" t="s">
        <v>22</v>
      </c>
      <c r="D182" s="10">
        <v>45528</v>
      </c>
      <c r="E182" s="8" t="s">
        <v>19</v>
      </c>
      <c r="F182" s="19">
        <v>10</v>
      </c>
      <c r="G182" s="20" t="s">
        <v>16</v>
      </c>
      <c r="H182" s="13" t="s">
        <v>19</v>
      </c>
      <c r="I182" s="15" t="s">
        <v>307</v>
      </c>
      <c r="J182" s="16" t="s">
        <v>15</v>
      </c>
      <c r="K182" s="17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203</v>
      </c>
      <c r="C183" s="23" t="s">
        <v>18</v>
      </c>
      <c r="D183" s="10">
        <v>45529</v>
      </c>
      <c r="E183" s="8" t="s">
        <v>15</v>
      </c>
      <c r="F183" s="19">
        <v>5</v>
      </c>
      <c r="G183" s="20" t="s">
        <v>20</v>
      </c>
      <c r="H183" s="13" t="s">
        <v>19</v>
      </c>
      <c r="I183" s="15" t="s">
        <v>307</v>
      </c>
      <c r="J183" s="16" t="s">
        <v>19</v>
      </c>
      <c r="K183" s="17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204</v>
      </c>
      <c r="C184" s="23" t="s">
        <v>14</v>
      </c>
      <c r="D184" s="10">
        <v>45530</v>
      </c>
      <c r="E184" s="8" t="s">
        <v>19</v>
      </c>
      <c r="F184" s="19">
        <v>15</v>
      </c>
      <c r="G184" s="20" t="s">
        <v>23</v>
      </c>
      <c r="H184" s="13" t="s">
        <v>15</v>
      </c>
      <c r="I184" s="15">
        <v>30</v>
      </c>
      <c r="J184" s="16" t="s">
        <v>15</v>
      </c>
      <c r="K184" s="17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205</v>
      </c>
      <c r="C185" s="23" t="s">
        <v>22</v>
      </c>
      <c r="D185" s="10">
        <v>45531</v>
      </c>
      <c r="E185" s="8" t="s">
        <v>15</v>
      </c>
      <c r="F185" s="19">
        <v>10</v>
      </c>
      <c r="G185" s="20" t="s">
        <v>23</v>
      </c>
      <c r="H185" s="13" t="s">
        <v>19</v>
      </c>
      <c r="I185" s="15" t="s">
        <v>307</v>
      </c>
      <c r="J185" s="16" t="s">
        <v>15</v>
      </c>
      <c r="K185" s="17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206</v>
      </c>
      <c r="C186" s="23" t="s">
        <v>18</v>
      </c>
      <c r="D186" s="10">
        <v>45532</v>
      </c>
      <c r="E186" s="8" t="s">
        <v>19</v>
      </c>
      <c r="F186" s="19">
        <v>5</v>
      </c>
      <c r="G186" s="20" t="s">
        <v>16</v>
      </c>
      <c r="H186" s="13" t="s">
        <v>19</v>
      </c>
      <c r="I186" s="15" t="s">
        <v>307</v>
      </c>
      <c r="J186" s="16" t="s">
        <v>19</v>
      </c>
      <c r="K186" s="17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207</v>
      </c>
      <c r="C187" s="23" t="s">
        <v>14</v>
      </c>
      <c r="D187" s="10">
        <v>45533</v>
      </c>
      <c r="E187" s="8" t="s">
        <v>15</v>
      </c>
      <c r="F187" s="19">
        <v>15</v>
      </c>
      <c r="G187" s="20" t="s">
        <v>20</v>
      </c>
      <c r="H187" s="13" t="s">
        <v>15</v>
      </c>
      <c r="I187" s="15">
        <v>30</v>
      </c>
      <c r="J187" s="16" t="s">
        <v>15</v>
      </c>
      <c r="K187" s="17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208</v>
      </c>
      <c r="C188" s="23" t="s">
        <v>22</v>
      </c>
      <c r="D188" s="10">
        <v>45534</v>
      </c>
      <c r="E188" s="8" t="s">
        <v>19</v>
      </c>
      <c r="F188" s="19">
        <v>10</v>
      </c>
      <c r="G188" s="20" t="s">
        <v>16</v>
      </c>
      <c r="H188" s="13" t="s">
        <v>19</v>
      </c>
      <c r="I188" s="15" t="s">
        <v>307</v>
      </c>
      <c r="J188" s="16" t="s">
        <v>15</v>
      </c>
      <c r="K188" s="17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209</v>
      </c>
      <c r="C189" s="23" t="s">
        <v>18</v>
      </c>
      <c r="D189" s="10">
        <v>45535</v>
      </c>
      <c r="E189" s="8" t="s">
        <v>15</v>
      </c>
      <c r="F189" s="19">
        <v>5</v>
      </c>
      <c r="G189" s="20" t="s">
        <v>23</v>
      </c>
      <c r="H189" s="13" t="s">
        <v>19</v>
      </c>
      <c r="I189" s="15" t="s">
        <v>307</v>
      </c>
      <c r="J189" s="16" t="s">
        <v>19</v>
      </c>
      <c r="K189" s="17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210</v>
      </c>
      <c r="C190" s="23" t="s">
        <v>14</v>
      </c>
      <c r="D190" s="10">
        <v>45536</v>
      </c>
      <c r="E190" s="8" t="s">
        <v>19</v>
      </c>
      <c r="F190" s="19">
        <v>15</v>
      </c>
      <c r="G190" s="20" t="s">
        <v>16</v>
      </c>
      <c r="H190" s="13" t="s">
        <v>15</v>
      </c>
      <c r="I190" s="15">
        <v>30</v>
      </c>
      <c r="J190" s="16" t="s">
        <v>15</v>
      </c>
      <c r="K190" s="17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211</v>
      </c>
      <c r="C191" s="23" t="s">
        <v>22</v>
      </c>
      <c r="D191" s="10">
        <v>45537</v>
      </c>
      <c r="E191" s="8" t="s">
        <v>15</v>
      </c>
      <c r="F191" s="19">
        <v>10</v>
      </c>
      <c r="G191" s="20" t="s">
        <v>20</v>
      </c>
      <c r="H191" s="13" t="s">
        <v>19</v>
      </c>
      <c r="I191" s="15" t="s">
        <v>307</v>
      </c>
      <c r="J191" s="16" t="s">
        <v>15</v>
      </c>
      <c r="K191" s="17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40</v>
      </c>
      <c r="C192" s="23" t="s">
        <v>18</v>
      </c>
      <c r="D192" s="10">
        <v>45538</v>
      </c>
      <c r="E192" s="8" t="s">
        <v>19</v>
      </c>
      <c r="F192" s="19">
        <v>5</v>
      </c>
      <c r="G192" s="20" t="s">
        <v>16</v>
      </c>
      <c r="H192" s="13" t="s">
        <v>19</v>
      </c>
      <c r="I192" s="15" t="s">
        <v>307</v>
      </c>
      <c r="J192" s="16" t="s">
        <v>19</v>
      </c>
      <c r="K192" s="17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212</v>
      </c>
      <c r="C193" s="23" t="s">
        <v>14</v>
      </c>
      <c r="D193" s="10">
        <v>45539</v>
      </c>
      <c r="E193" s="8" t="s">
        <v>15</v>
      </c>
      <c r="F193" s="19">
        <v>15</v>
      </c>
      <c r="G193" s="20" t="s">
        <v>23</v>
      </c>
      <c r="H193" s="13" t="s">
        <v>15</v>
      </c>
      <c r="I193" s="15">
        <v>30</v>
      </c>
      <c r="J193" s="16" t="s">
        <v>15</v>
      </c>
      <c r="K193" s="17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213</v>
      </c>
      <c r="C194" s="23" t="s">
        <v>22</v>
      </c>
      <c r="D194" s="10">
        <v>45540</v>
      </c>
      <c r="E194" s="8" t="s">
        <v>19</v>
      </c>
      <c r="F194" s="19">
        <v>10</v>
      </c>
      <c r="G194" s="20" t="s">
        <v>16</v>
      </c>
      <c r="H194" s="13" t="s">
        <v>19</v>
      </c>
      <c r="I194" s="15" t="s">
        <v>307</v>
      </c>
      <c r="J194" s="16" t="s">
        <v>15</v>
      </c>
      <c r="K194" s="17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39</v>
      </c>
      <c r="C195" s="23" t="s">
        <v>18</v>
      </c>
      <c r="D195" s="10">
        <v>45541</v>
      </c>
      <c r="E195" s="8" t="s">
        <v>15</v>
      </c>
      <c r="F195" s="19">
        <v>5</v>
      </c>
      <c r="G195" s="20" t="s">
        <v>20</v>
      </c>
      <c r="H195" s="13" t="s">
        <v>19</v>
      </c>
      <c r="I195" s="15" t="s">
        <v>307</v>
      </c>
      <c r="J195" s="16" t="s">
        <v>19</v>
      </c>
      <c r="K195" s="17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214</v>
      </c>
      <c r="C196" s="23" t="s">
        <v>14</v>
      </c>
      <c r="D196" s="10">
        <v>45542</v>
      </c>
      <c r="E196" s="8" t="s">
        <v>19</v>
      </c>
      <c r="F196" s="19">
        <v>15</v>
      </c>
      <c r="G196" s="20" t="s">
        <v>16</v>
      </c>
      <c r="H196" s="13" t="s">
        <v>15</v>
      </c>
      <c r="I196" s="15">
        <v>30</v>
      </c>
      <c r="J196" s="16" t="s">
        <v>15</v>
      </c>
      <c r="K196" s="17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192</v>
      </c>
      <c r="C197" s="23" t="s">
        <v>22</v>
      </c>
      <c r="D197" s="10">
        <v>45543</v>
      </c>
      <c r="E197" s="8" t="s">
        <v>15</v>
      </c>
      <c r="F197" s="19">
        <v>10</v>
      </c>
      <c r="G197" s="20" t="s">
        <v>23</v>
      </c>
      <c r="H197" s="13" t="s">
        <v>19</v>
      </c>
      <c r="I197" s="15" t="s">
        <v>307</v>
      </c>
      <c r="J197" s="16" t="s">
        <v>15</v>
      </c>
      <c r="K197" s="17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215</v>
      </c>
      <c r="C198" s="23" t="s">
        <v>18</v>
      </c>
      <c r="D198" s="10">
        <v>45544</v>
      </c>
      <c r="E198" s="8" t="s">
        <v>19</v>
      </c>
      <c r="F198" s="19">
        <v>5</v>
      </c>
      <c r="G198" s="20" t="s">
        <v>16</v>
      </c>
      <c r="H198" s="13" t="s">
        <v>19</v>
      </c>
      <c r="I198" s="15" t="s">
        <v>307</v>
      </c>
      <c r="J198" s="16" t="s">
        <v>19</v>
      </c>
      <c r="K198" s="17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216</v>
      </c>
      <c r="C199" s="23" t="s">
        <v>14</v>
      </c>
      <c r="D199" s="10">
        <v>45545</v>
      </c>
      <c r="E199" s="8" t="s">
        <v>15</v>
      </c>
      <c r="F199" s="19">
        <v>15</v>
      </c>
      <c r="G199" s="20" t="s">
        <v>20</v>
      </c>
      <c r="H199" s="13" t="s">
        <v>15</v>
      </c>
      <c r="I199" s="15">
        <v>30</v>
      </c>
      <c r="J199" s="16" t="s">
        <v>15</v>
      </c>
      <c r="K199" s="17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217</v>
      </c>
      <c r="C200" s="23" t="s">
        <v>22</v>
      </c>
      <c r="D200" s="10">
        <v>45546</v>
      </c>
      <c r="E200" s="8" t="s">
        <v>19</v>
      </c>
      <c r="F200" s="19">
        <v>10</v>
      </c>
      <c r="G200" s="20" t="s">
        <v>16</v>
      </c>
      <c r="H200" s="13" t="s">
        <v>19</v>
      </c>
      <c r="I200" s="15" t="s">
        <v>307</v>
      </c>
      <c r="J200" s="16" t="s">
        <v>15</v>
      </c>
      <c r="K200" s="17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218</v>
      </c>
      <c r="C201" s="23" t="s">
        <v>18</v>
      </c>
      <c r="D201" s="10">
        <v>45547</v>
      </c>
      <c r="E201" s="8" t="s">
        <v>15</v>
      </c>
      <c r="F201" s="19">
        <v>5</v>
      </c>
      <c r="G201" s="20" t="s">
        <v>23</v>
      </c>
      <c r="H201" s="13" t="s">
        <v>19</v>
      </c>
      <c r="I201" s="15" t="s">
        <v>307</v>
      </c>
      <c r="J201" s="16" t="s">
        <v>19</v>
      </c>
      <c r="K201" s="17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219</v>
      </c>
      <c r="C202" s="23" t="s">
        <v>14</v>
      </c>
      <c r="D202" s="10">
        <v>45548</v>
      </c>
      <c r="E202" s="8" t="s">
        <v>19</v>
      </c>
      <c r="F202" s="19">
        <v>15</v>
      </c>
      <c r="G202" s="20" t="s">
        <v>16</v>
      </c>
      <c r="H202" s="13" t="s">
        <v>15</v>
      </c>
      <c r="I202" s="15">
        <v>30</v>
      </c>
      <c r="J202" s="16" t="s">
        <v>15</v>
      </c>
      <c r="K202" s="17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220</v>
      </c>
      <c r="C203" s="23" t="s">
        <v>22</v>
      </c>
      <c r="D203" s="10">
        <v>45549</v>
      </c>
      <c r="E203" s="8" t="s">
        <v>15</v>
      </c>
      <c r="F203" s="19">
        <v>10</v>
      </c>
      <c r="G203" s="20" t="s">
        <v>20</v>
      </c>
      <c r="H203" s="13" t="s">
        <v>19</v>
      </c>
      <c r="I203" s="15" t="s">
        <v>307</v>
      </c>
      <c r="J203" s="16" t="s">
        <v>15</v>
      </c>
      <c r="K203" s="17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221</v>
      </c>
      <c r="C204" s="23" t="s">
        <v>18</v>
      </c>
      <c r="D204" s="10">
        <v>45550</v>
      </c>
      <c r="E204" s="8" t="s">
        <v>19</v>
      </c>
      <c r="F204" s="19">
        <v>5</v>
      </c>
      <c r="G204" s="20" t="s">
        <v>16</v>
      </c>
      <c r="H204" s="13" t="s">
        <v>19</v>
      </c>
      <c r="I204" s="15" t="s">
        <v>307</v>
      </c>
      <c r="J204" s="16" t="s">
        <v>19</v>
      </c>
      <c r="K204" s="17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222</v>
      </c>
      <c r="C205" s="23" t="s">
        <v>14</v>
      </c>
      <c r="D205" s="10">
        <v>45551</v>
      </c>
      <c r="E205" s="8" t="s">
        <v>15</v>
      </c>
      <c r="F205" s="19">
        <v>15</v>
      </c>
      <c r="G205" s="20" t="s">
        <v>23</v>
      </c>
      <c r="H205" s="13" t="s">
        <v>15</v>
      </c>
      <c r="I205" s="15">
        <v>30</v>
      </c>
      <c r="J205" s="16" t="s">
        <v>15</v>
      </c>
      <c r="K205" s="17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223</v>
      </c>
      <c r="C206" s="23" t="s">
        <v>22</v>
      </c>
      <c r="D206" s="10">
        <v>45552</v>
      </c>
      <c r="E206" s="8" t="s">
        <v>19</v>
      </c>
      <c r="F206" s="19">
        <v>10</v>
      </c>
      <c r="G206" s="20" t="s">
        <v>16</v>
      </c>
      <c r="H206" s="13" t="s">
        <v>19</v>
      </c>
      <c r="I206" s="15" t="s">
        <v>307</v>
      </c>
      <c r="J206" s="16" t="s">
        <v>15</v>
      </c>
      <c r="K206" s="17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224</v>
      </c>
      <c r="C207" s="23" t="s">
        <v>18</v>
      </c>
      <c r="D207" s="10">
        <v>45553</v>
      </c>
      <c r="E207" s="8" t="s">
        <v>15</v>
      </c>
      <c r="F207" s="19">
        <v>5</v>
      </c>
      <c r="G207" s="20" t="s">
        <v>16</v>
      </c>
      <c r="H207" s="13" t="s">
        <v>19</v>
      </c>
      <c r="I207" s="15" t="s">
        <v>307</v>
      </c>
      <c r="J207" s="16" t="s">
        <v>19</v>
      </c>
      <c r="K207" s="17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225</v>
      </c>
      <c r="C208" s="23" t="s">
        <v>14</v>
      </c>
      <c r="D208" s="10">
        <v>45554</v>
      </c>
      <c r="E208" s="8" t="s">
        <v>19</v>
      </c>
      <c r="F208" s="19">
        <v>15</v>
      </c>
      <c r="G208" s="20" t="s">
        <v>23</v>
      </c>
      <c r="H208" s="13" t="s">
        <v>15</v>
      </c>
      <c r="I208" s="15">
        <v>30</v>
      </c>
      <c r="J208" s="16" t="s">
        <v>15</v>
      </c>
      <c r="K208" s="17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226</v>
      </c>
      <c r="C209" s="23" t="s">
        <v>22</v>
      </c>
      <c r="D209" s="10">
        <v>45555</v>
      </c>
      <c r="E209" s="8" t="s">
        <v>15</v>
      </c>
      <c r="F209" s="19">
        <v>10</v>
      </c>
      <c r="G209" s="20" t="s">
        <v>20</v>
      </c>
      <c r="H209" s="13" t="s">
        <v>19</v>
      </c>
      <c r="I209" s="15" t="s">
        <v>307</v>
      </c>
      <c r="J209" s="16" t="s">
        <v>15</v>
      </c>
      <c r="K209" s="17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227</v>
      </c>
      <c r="C210" s="23" t="s">
        <v>18</v>
      </c>
      <c r="D210" s="10">
        <v>45556</v>
      </c>
      <c r="E210" s="8" t="s">
        <v>19</v>
      </c>
      <c r="F210" s="19">
        <v>5</v>
      </c>
      <c r="G210" s="20" t="s">
        <v>23</v>
      </c>
      <c r="H210" s="13" t="s">
        <v>19</v>
      </c>
      <c r="I210" s="15" t="s">
        <v>307</v>
      </c>
      <c r="J210" s="16" t="s">
        <v>19</v>
      </c>
      <c r="K210" s="17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228</v>
      </c>
      <c r="C211" s="23" t="s">
        <v>14</v>
      </c>
      <c r="D211" s="10">
        <v>45557</v>
      </c>
      <c r="E211" s="8" t="s">
        <v>15</v>
      </c>
      <c r="F211" s="19">
        <v>15</v>
      </c>
      <c r="G211" s="20" t="s">
        <v>16</v>
      </c>
      <c r="H211" s="13" t="s">
        <v>15</v>
      </c>
      <c r="I211" s="15">
        <v>30</v>
      </c>
      <c r="J211" s="16" t="s">
        <v>15</v>
      </c>
      <c r="K211" s="17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229</v>
      </c>
      <c r="C212" s="23" t="s">
        <v>22</v>
      </c>
      <c r="D212" s="10">
        <v>45558</v>
      </c>
      <c r="E212" s="8" t="s">
        <v>19</v>
      </c>
      <c r="F212" s="19">
        <v>10</v>
      </c>
      <c r="G212" s="20" t="s">
        <v>16</v>
      </c>
      <c r="H212" s="13" t="s">
        <v>19</v>
      </c>
      <c r="I212" s="15" t="s">
        <v>307</v>
      </c>
      <c r="J212" s="16" t="s">
        <v>15</v>
      </c>
      <c r="K212" s="17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230</v>
      </c>
      <c r="C213" s="23" t="s">
        <v>18</v>
      </c>
      <c r="D213" s="10">
        <v>45559</v>
      </c>
      <c r="E213" s="8" t="s">
        <v>15</v>
      </c>
      <c r="F213" s="19">
        <v>5</v>
      </c>
      <c r="G213" s="20" t="s">
        <v>20</v>
      </c>
      <c r="H213" s="13" t="s">
        <v>19</v>
      </c>
      <c r="I213" s="15" t="s">
        <v>307</v>
      </c>
      <c r="J213" s="16" t="s">
        <v>19</v>
      </c>
      <c r="K213" s="17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231</v>
      </c>
      <c r="C214" s="23" t="s">
        <v>14</v>
      </c>
      <c r="D214" s="10">
        <v>45560</v>
      </c>
      <c r="E214" s="8" t="s">
        <v>19</v>
      </c>
      <c r="F214" s="19">
        <v>15</v>
      </c>
      <c r="G214" s="20" t="s">
        <v>23</v>
      </c>
      <c r="H214" s="13" t="s">
        <v>15</v>
      </c>
      <c r="I214" s="15">
        <v>30</v>
      </c>
      <c r="J214" s="16" t="s">
        <v>15</v>
      </c>
      <c r="K214" s="17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232</v>
      </c>
      <c r="C215" s="23" t="s">
        <v>22</v>
      </c>
      <c r="D215" s="10">
        <v>45561</v>
      </c>
      <c r="E215" s="8" t="s">
        <v>15</v>
      </c>
      <c r="F215" s="19">
        <v>10</v>
      </c>
      <c r="G215" s="20" t="s">
        <v>23</v>
      </c>
      <c r="H215" s="13" t="s">
        <v>19</v>
      </c>
      <c r="I215" s="15" t="s">
        <v>307</v>
      </c>
      <c r="J215" s="16" t="s">
        <v>15</v>
      </c>
      <c r="K215" s="17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62</v>
      </c>
      <c r="C216" s="23" t="s">
        <v>18</v>
      </c>
      <c r="D216" s="10">
        <v>45562</v>
      </c>
      <c r="E216" s="8" t="s">
        <v>19</v>
      </c>
      <c r="F216" s="19">
        <v>5</v>
      </c>
      <c r="G216" s="20" t="s">
        <v>16</v>
      </c>
      <c r="H216" s="13" t="s">
        <v>19</v>
      </c>
      <c r="I216" s="15" t="s">
        <v>307</v>
      </c>
      <c r="J216" s="16" t="s">
        <v>19</v>
      </c>
      <c r="K216" s="17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233</v>
      </c>
      <c r="C217" s="23" t="s">
        <v>14</v>
      </c>
      <c r="D217" s="10">
        <v>45563</v>
      </c>
      <c r="E217" s="8" t="s">
        <v>15</v>
      </c>
      <c r="F217" s="19">
        <v>15</v>
      </c>
      <c r="G217" s="20" t="s">
        <v>20</v>
      </c>
      <c r="H217" s="13" t="s">
        <v>15</v>
      </c>
      <c r="I217" s="15">
        <v>30</v>
      </c>
      <c r="J217" s="16" t="s">
        <v>15</v>
      </c>
      <c r="K217" s="17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234</v>
      </c>
      <c r="C218" s="23" t="s">
        <v>22</v>
      </c>
      <c r="D218" s="10">
        <v>45564</v>
      </c>
      <c r="E218" s="8" t="s">
        <v>19</v>
      </c>
      <c r="F218" s="19">
        <v>10</v>
      </c>
      <c r="G218" s="20" t="s">
        <v>16</v>
      </c>
      <c r="H218" s="13" t="s">
        <v>19</v>
      </c>
      <c r="I218" s="15" t="s">
        <v>307</v>
      </c>
      <c r="J218" s="16" t="s">
        <v>15</v>
      </c>
      <c r="K218" s="17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235</v>
      </c>
      <c r="C219" s="23" t="s">
        <v>18</v>
      </c>
      <c r="D219" s="10">
        <v>45565</v>
      </c>
      <c r="E219" s="8" t="s">
        <v>15</v>
      </c>
      <c r="F219" s="19">
        <v>5</v>
      </c>
      <c r="G219" s="20" t="s">
        <v>23</v>
      </c>
      <c r="H219" s="13" t="s">
        <v>19</v>
      </c>
      <c r="I219" s="15" t="s">
        <v>307</v>
      </c>
      <c r="J219" s="16" t="s">
        <v>19</v>
      </c>
      <c r="K219" s="17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236</v>
      </c>
      <c r="C220" s="23" t="s">
        <v>14</v>
      </c>
      <c r="D220" s="10">
        <v>45566</v>
      </c>
      <c r="E220" s="8" t="s">
        <v>19</v>
      </c>
      <c r="F220" s="19">
        <v>15</v>
      </c>
      <c r="G220" s="20" t="s">
        <v>16</v>
      </c>
      <c r="H220" s="13" t="s">
        <v>15</v>
      </c>
      <c r="I220" s="15">
        <v>30</v>
      </c>
      <c r="J220" s="16" t="s">
        <v>15</v>
      </c>
      <c r="K220" s="17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237</v>
      </c>
      <c r="C221" s="23" t="s">
        <v>22</v>
      </c>
      <c r="D221" s="10">
        <v>45567</v>
      </c>
      <c r="E221" s="8" t="s">
        <v>15</v>
      </c>
      <c r="F221" s="19">
        <v>10</v>
      </c>
      <c r="G221" s="20" t="s">
        <v>20</v>
      </c>
      <c r="H221" s="13" t="s">
        <v>19</v>
      </c>
      <c r="I221" s="15" t="s">
        <v>307</v>
      </c>
      <c r="J221" s="16" t="s">
        <v>15</v>
      </c>
      <c r="K221" s="17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238</v>
      </c>
      <c r="C222" s="23" t="s">
        <v>18</v>
      </c>
      <c r="D222" s="10">
        <v>45568</v>
      </c>
      <c r="E222" s="8" t="s">
        <v>19</v>
      </c>
      <c r="F222" s="19">
        <v>5</v>
      </c>
      <c r="G222" s="20" t="s">
        <v>16</v>
      </c>
      <c r="H222" s="13" t="s">
        <v>19</v>
      </c>
      <c r="I222" s="15" t="s">
        <v>307</v>
      </c>
      <c r="J222" s="16" t="s">
        <v>19</v>
      </c>
      <c r="K222" s="17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216</v>
      </c>
      <c r="C223" s="23" t="s">
        <v>14</v>
      </c>
      <c r="D223" s="10">
        <v>45569</v>
      </c>
      <c r="E223" s="8" t="s">
        <v>15</v>
      </c>
      <c r="F223" s="19">
        <v>15</v>
      </c>
      <c r="G223" s="20" t="s">
        <v>23</v>
      </c>
      <c r="H223" s="13" t="s">
        <v>15</v>
      </c>
      <c r="I223" s="15">
        <v>30</v>
      </c>
      <c r="J223" s="16" t="s">
        <v>15</v>
      </c>
      <c r="K223" s="17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70</v>
      </c>
      <c r="C224" s="23" t="s">
        <v>22</v>
      </c>
      <c r="D224" s="10">
        <v>45570</v>
      </c>
      <c r="E224" s="8" t="s">
        <v>19</v>
      </c>
      <c r="F224" s="19">
        <v>10</v>
      </c>
      <c r="G224" s="20" t="s">
        <v>16</v>
      </c>
      <c r="H224" s="13" t="s">
        <v>19</v>
      </c>
      <c r="I224" s="15" t="s">
        <v>307</v>
      </c>
      <c r="J224" s="16" t="s">
        <v>15</v>
      </c>
      <c r="K224" s="17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239</v>
      </c>
      <c r="C225" s="23" t="s">
        <v>18</v>
      </c>
      <c r="D225" s="10">
        <v>45571</v>
      </c>
      <c r="E225" s="8" t="s">
        <v>15</v>
      </c>
      <c r="F225" s="19">
        <v>5</v>
      </c>
      <c r="G225" s="20" t="s">
        <v>20</v>
      </c>
      <c r="H225" s="13" t="s">
        <v>19</v>
      </c>
      <c r="I225" s="15" t="s">
        <v>307</v>
      </c>
      <c r="J225" s="16" t="s">
        <v>19</v>
      </c>
      <c r="K225" s="17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240</v>
      </c>
      <c r="C226" s="23" t="s">
        <v>14</v>
      </c>
      <c r="D226" s="10">
        <v>45572</v>
      </c>
      <c r="E226" s="8" t="s">
        <v>19</v>
      </c>
      <c r="F226" s="19">
        <v>15</v>
      </c>
      <c r="G226" s="20" t="s">
        <v>16</v>
      </c>
      <c r="H226" s="13" t="s">
        <v>15</v>
      </c>
      <c r="I226" s="15">
        <v>30</v>
      </c>
      <c r="J226" s="16" t="s">
        <v>15</v>
      </c>
      <c r="K226" s="17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241</v>
      </c>
      <c r="C227" s="23" t="s">
        <v>22</v>
      </c>
      <c r="D227" s="10">
        <v>45573</v>
      </c>
      <c r="E227" s="8" t="s">
        <v>15</v>
      </c>
      <c r="F227" s="19">
        <v>10</v>
      </c>
      <c r="G227" s="20" t="s">
        <v>23</v>
      </c>
      <c r="H227" s="13" t="s">
        <v>19</v>
      </c>
      <c r="I227" s="15" t="s">
        <v>307</v>
      </c>
      <c r="J227" s="16" t="s">
        <v>15</v>
      </c>
      <c r="K227" s="17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242</v>
      </c>
      <c r="C228" s="23" t="s">
        <v>18</v>
      </c>
      <c r="D228" s="10">
        <v>45574</v>
      </c>
      <c r="E228" s="8" t="s">
        <v>19</v>
      </c>
      <c r="F228" s="19">
        <v>5</v>
      </c>
      <c r="G228" s="20" t="s">
        <v>16</v>
      </c>
      <c r="H228" s="13" t="s">
        <v>19</v>
      </c>
      <c r="I228" s="15" t="s">
        <v>307</v>
      </c>
      <c r="J228" s="16" t="s">
        <v>19</v>
      </c>
      <c r="K228" s="17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243</v>
      </c>
      <c r="C229" s="23" t="s">
        <v>14</v>
      </c>
      <c r="D229" s="10">
        <v>45575</v>
      </c>
      <c r="E229" s="8" t="s">
        <v>15</v>
      </c>
      <c r="F229" s="19">
        <v>15</v>
      </c>
      <c r="G229" s="20" t="s">
        <v>20</v>
      </c>
      <c r="H229" s="13" t="s">
        <v>15</v>
      </c>
      <c r="I229" s="15">
        <v>30</v>
      </c>
      <c r="J229" s="16" t="s">
        <v>15</v>
      </c>
      <c r="K229" s="17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244</v>
      </c>
      <c r="C230" s="23" t="s">
        <v>22</v>
      </c>
      <c r="D230" s="10">
        <v>45576</v>
      </c>
      <c r="E230" s="8" t="s">
        <v>19</v>
      </c>
      <c r="F230" s="19">
        <v>10</v>
      </c>
      <c r="G230" s="20" t="s">
        <v>16</v>
      </c>
      <c r="H230" s="13" t="s">
        <v>19</v>
      </c>
      <c r="I230" s="15" t="s">
        <v>307</v>
      </c>
      <c r="J230" s="16" t="s">
        <v>15</v>
      </c>
      <c r="K230" s="17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152</v>
      </c>
      <c r="C231" s="23" t="s">
        <v>18</v>
      </c>
      <c r="D231" s="10">
        <v>45577</v>
      </c>
      <c r="E231" s="8" t="s">
        <v>15</v>
      </c>
      <c r="F231" s="19">
        <v>5</v>
      </c>
      <c r="G231" s="20" t="s">
        <v>23</v>
      </c>
      <c r="H231" s="13" t="s">
        <v>19</v>
      </c>
      <c r="I231" s="15" t="s">
        <v>307</v>
      </c>
      <c r="J231" s="16" t="s">
        <v>19</v>
      </c>
      <c r="K231" s="17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245</v>
      </c>
      <c r="C232" s="23" t="s">
        <v>14</v>
      </c>
      <c r="D232" s="10">
        <v>45578</v>
      </c>
      <c r="E232" s="8" t="s">
        <v>19</v>
      </c>
      <c r="F232" s="19">
        <v>15</v>
      </c>
      <c r="G232" s="20" t="s">
        <v>16</v>
      </c>
      <c r="H232" s="13" t="s">
        <v>15</v>
      </c>
      <c r="I232" s="15">
        <v>30</v>
      </c>
      <c r="J232" s="16" t="s">
        <v>15</v>
      </c>
      <c r="K232" s="17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246</v>
      </c>
      <c r="C233" s="23" t="s">
        <v>22</v>
      </c>
      <c r="D233" s="10">
        <v>45579</v>
      </c>
      <c r="E233" s="8" t="s">
        <v>15</v>
      </c>
      <c r="F233" s="19">
        <v>10</v>
      </c>
      <c r="G233" s="20" t="s">
        <v>20</v>
      </c>
      <c r="H233" s="13" t="s">
        <v>19</v>
      </c>
      <c r="I233" s="15" t="s">
        <v>307</v>
      </c>
      <c r="J233" s="16" t="s">
        <v>15</v>
      </c>
      <c r="K233" s="17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247</v>
      </c>
      <c r="C234" s="23" t="s">
        <v>18</v>
      </c>
      <c r="D234" s="10">
        <v>45580</v>
      </c>
      <c r="E234" s="8" t="s">
        <v>19</v>
      </c>
      <c r="F234" s="19">
        <v>5</v>
      </c>
      <c r="G234" s="20" t="s">
        <v>16</v>
      </c>
      <c r="H234" s="13" t="s">
        <v>19</v>
      </c>
      <c r="I234" s="15" t="s">
        <v>307</v>
      </c>
      <c r="J234" s="16" t="s">
        <v>19</v>
      </c>
      <c r="K234" s="17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248</v>
      </c>
      <c r="C235" s="23" t="s">
        <v>14</v>
      </c>
      <c r="D235" s="10">
        <v>45581</v>
      </c>
      <c r="E235" s="8" t="s">
        <v>15</v>
      </c>
      <c r="F235" s="19">
        <v>15</v>
      </c>
      <c r="G235" s="20" t="s">
        <v>23</v>
      </c>
      <c r="H235" s="13" t="s">
        <v>15</v>
      </c>
      <c r="I235" s="15">
        <v>30</v>
      </c>
      <c r="J235" s="16" t="s">
        <v>15</v>
      </c>
      <c r="K235" s="17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249</v>
      </c>
      <c r="C236" s="23" t="s">
        <v>22</v>
      </c>
      <c r="D236" s="10">
        <v>45582</v>
      </c>
      <c r="E236" s="8" t="s">
        <v>19</v>
      </c>
      <c r="F236" s="19">
        <v>10</v>
      </c>
      <c r="G236" s="20" t="s">
        <v>16</v>
      </c>
      <c r="H236" s="13" t="s">
        <v>19</v>
      </c>
      <c r="I236" s="15" t="s">
        <v>307</v>
      </c>
      <c r="J236" s="16" t="s">
        <v>15</v>
      </c>
      <c r="K236" s="17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250</v>
      </c>
      <c r="C237" s="23" t="s">
        <v>18</v>
      </c>
      <c r="D237" s="10">
        <v>45583</v>
      </c>
      <c r="E237" s="8" t="s">
        <v>15</v>
      </c>
      <c r="F237" s="19">
        <v>5</v>
      </c>
      <c r="G237" s="20" t="s">
        <v>20</v>
      </c>
      <c r="H237" s="13" t="s">
        <v>19</v>
      </c>
      <c r="I237" s="15" t="s">
        <v>307</v>
      </c>
      <c r="J237" s="16" t="s">
        <v>19</v>
      </c>
      <c r="K237" s="17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251</v>
      </c>
      <c r="C238" s="23" t="s">
        <v>14</v>
      </c>
      <c r="D238" s="10">
        <v>45584</v>
      </c>
      <c r="E238" s="8" t="s">
        <v>19</v>
      </c>
      <c r="F238" s="19">
        <v>15</v>
      </c>
      <c r="G238" s="20" t="s">
        <v>16</v>
      </c>
      <c r="H238" s="13" t="s">
        <v>15</v>
      </c>
      <c r="I238" s="15">
        <v>30</v>
      </c>
      <c r="J238" s="16" t="s">
        <v>15</v>
      </c>
      <c r="K238" s="17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252</v>
      </c>
      <c r="C239" s="23" t="s">
        <v>22</v>
      </c>
      <c r="D239" s="10">
        <v>45585</v>
      </c>
      <c r="E239" s="8" t="s">
        <v>15</v>
      </c>
      <c r="F239" s="19">
        <v>10</v>
      </c>
      <c r="G239" s="20" t="s">
        <v>23</v>
      </c>
      <c r="H239" s="13" t="s">
        <v>19</v>
      </c>
      <c r="I239" s="15" t="s">
        <v>307</v>
      </c>
      <c r="J239" s="16" t="s">
        <v>15</v>
      </c>
      <c r="K239" s="17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253</v>
      </c>
      <c r="C240" s="23" t="s">
        <v>18</v>
      </c>
      <c r="D240" s="10">
        <v>45586</v>
      </c>
      <c r="E240" s="8" t="s">
        <v>19</v>
      </c>
      <c r="F240" s="19">
        <v>5</v>
      </c>
      <c r="G240" s="20" t="s">
        <v>16</v>
      </c>
      <c r="H240" s="13" t="s">
        <v>19</v>
      </c>
      <c r="I240" s="15" t="s">
        <v>307</v>
      </c>
      <c r="J240" s="16" t="s">
        <v>19</v>
      </c>
      <c r="K240" s="17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254</v>
      </c>
      <c r="C241" s="23" t="s">
        <v>14</v>
      </c>
      <c r="D241" s="10">
        <v>45587</v>
      </c>
      <c r="E241" s="8" t="s">
        <v>15</v>
      </c>
      <c r="F241" s="19">
        <v>15</v>
      </c>
      <c r="G241" s="20" t="s">
        <v>20</v>
      </c>
      <c r="H241" s="13" t="s">
        <v>15</v>
      </c>
      <c r="I241" s="15">
        <v>30</v>
      </c>
      <c r="J241" s="16" t="s">
        <v>15</v>
      </c>
      <c r="K241" s="17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255</v>
      </c>
      <c r="C242" s="23" t="s">
        <v>22</v>
      </c>
      <c r="D242" s="10">
        <v>45588</v>
      </c>
      <c r="E242" s="8" t="s">
        <v>19</v>
      </c>
      <c r="F242" s="19">
        <v>10</v>
      </c>
      <c r="G242" s="20" t="s">
        <v>16</v>
      </c>
      <c r="H242" s="13" t="s">
        <v>19</v>
      </c>
      <c r="I242" s="15" t="s">
        <v>307</v>
      </c>
      <c r="J242" s="16" t="s">
        <v>15</v>
      </c>
      <c r="K242" s="17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256</v>
      </c>
      <c r="C243" s="23" t="s">
        <v>18</v>
      </c>
      <c r="D243" s="10">
        <v>45589</v>
      </c>
      <c r="E243" s="8" t="s">
        <v>15</v>
      </c>
      <c r="F243" s="19">
        <v>5</v>
      </c>
      <c r="G243" s="20" t="s">
        <v>23</v>
      </c>
      <c r="H243" s="13" t="s">
        <v>19</v>
      </c>
      <c r="I243" s="15" t="s">
        <v>307</v>
      </c>
      <c r="J243" s="16" t="s">
        <v>19</v>
      </c>
      <c r="K243" s="17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165</v>
      </c>
      <c r="C244" s="23" t="s">
        <v>14</v>
      </c>
      <c r="D244" s="10">
        <v>45590</v>
      </c>
      <c r="E244" s="8" t="s">
        <v>19</v>
      </c>
      <c r="F244" s="19">
        <v>15</v>
      </c>
      <c r="G244" s="20" t="s">
        <v>16</v>
      </c>
      <c r="H244" s="13" t="s">
        <v>15</v>
      </c>
      <c r="I244" s="15">
        <v>30</v>
      </c>
      <c r="J244" s="16" t="s">
        <v>15</v>
      </c>
      <c r="K244" s="17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257</v>
      </c>
      <c r="C245" s="23" t="s">
        <v>22</v>
      </c>
      <c r="D245" s="10">
        <v>45591</v>
      </c>
      <c r="E245" s="8" t="s">
        <v>15</v>
      </c>
      <c r="F245" s="19">
        <v>10</v>
      </c>
      <c r="G245" s="20" t="s">
        <v>20</v>
      </c>
      <c r="H245" s="13" t="s">
        <v>19</v>
      </c>
      <c r="I245" s="15" t="s">
        <v>307</v>
      </c>
      <c r="J245" s="16" t="s">
        <v>15</v>
      </c>
      <c r="K245" s="17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258</v>
      </c>
      <c r="C246" s="23" t="s">
        <v>18</v>
      </c>
      <c r="D246" s="10">
        <v>45592</v>
      </c>
      <c r="E246" s="8" t="s">
        <v>19</v>
      </c>
      <c r="F246" s="19">
        <v>5</v>
      </c>
      <c r="G246" s="20" t="s">
        <v>16</v>
      </c>
      <c r="H246" s="13" t="s">
        <v>19</v>
      </c>
      <c r="I246" s="15" t="s">
        <v>307</v>
      </c>
      <c r="J246" s="16" t="s">
        <v>19</v>
      </c>
      <c r="K246" s="17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259</v>
      </c>
      <c r="C247" s="23" t="s">
        <v>14</v>
      </c>
      <c r="D247" s="10">
        <v>45593</v>
      </c>
      <c r="E247" s="8" t="s">
        <v>15</v>
      </c>
      <c r="F247" s="19">
        <v>15</v>
      </c>
      <c r="G247" s="20" t="s">
        <v>23</v>
      </c>
      <c r="H247" s="13" t="s">
        <v>15</v>
      </c>
      <c r="I247" s="15">
        <v>30</v>
      </c>
      <c r="J247" s="16" t="s">
        <v>15</v>
      </c>
      <c r="K247" s="17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260</v>
      </c>
      <c r="C248" s="23" t="s">
        <v>22</v>
      </c>
      <c r="D248" s="10">
        <v>45594</v>
      </c>
      <c r="E248" s="8" t="s">
        <v>19</v>
      </c>
      <c r="F248" s="19">
        <v>10</v>
      </c>
      <c r="G248" s="20" t="s">
        <v>16</v>
      </c>
      <c r="H248" s="13" t="s">
        <v>19</v>
      </c>
      <c r="I248" s="15" t="s">
        <v>307</v>
      </c>
      <c r="J248" s="16" t="s">
        <v>15</v>
      </c>
      <c r="K248" s="17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261</v>
      </c>
      <c r="C249" s="23" t="s">
        <v>18</v>
      </c>
      <c r="D249" s="10">
        <v>45595</v>
      </c>
      <c r="E249" s="8" t="s">
        <v>15</v>
      </c>
      <c r="F249" s="19">
        <v>5</v>
      </c>
      <c r="G249" s="20" t="s">
        <v>20</v>
      </c>
      <c r="H249" s="13" t="s">
        <v>19</v>
      </c>
      <c r="I249" s="15" t="s">
        <v>307</v>
      </c>
      <c r="J249" s="16" t="s">
        <v>19</v>
      </c>
      <c r="K249" s="17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262</v>
      </c>
      <c r="C250" s="23" t="s">
        <v>14</v>
      </c>
      <c r="D250" s="10">
        <v>45596</v>
      </c>
      <c r="E250" s="8" t="s">
        <v>19</v>
      </c>
      <c r="F250" s="19">
        <v>15</v>
      </c>
      <c r="G250" s="20" t="s">
        <v>16</v>
      </c>
      <c r="H250" s="13" t="s">
        <v>15</v>
      </c>
      <c r="I250" s="15">
        <v>30</v>
      </c>
      <c r="J250" s="16" t="s">
        <v>15</v>
      </c>
      <c r="K250" s="17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263</v>
      </c>
      <c r="C251" s="23" t="s">
        <v>22</v>
      </c>
      <c r="D251" s="10">
        <v>45597</v>
      </c>
      <c r="E251" s="8" t="s">
        <v>15</v>
      </c>
      <c r="F251" s="19">
        <v>10</v>
      </c>
      <c r="G251" s="20" t="s">
        <v>23</v>
      </c>
      <c r="H251" s="13" t="s">
        <v>19</v>
      </c>
      <c r="I251" s="15" t="s">
        <v>307</v>
      </c>
      <c r="J251" s="16" t="s">
        <v>15</v>
      </c>
      <c r="K251" s="17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264</v>
      </c>
      <c r="C252" s="23" t="s">
        <v>18</v>
      </c>
      <c r="D252" s="10">
        <v>45598</v>
      </c>
      <c r="E252" s="8" t="s">
        <v>19</v>
      </c>
      <c r="F252" s="19">
        <v>5</v>
      </c>
      <c r="G252" s="20" t="s">
        <v>16</v>
      </c>
      <c r="H252" s="13" t="s">
        <v>19</v>
      </c>
      <c r="I252" s="15" t="s">
        <v>307</v>
      </c>
      <c r="J252" s="16" t="s">
        <v>19</v>
      </c>
      <c r="K252" s="17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265</v>
      </c>
      <c r="C253" s="23" t="s">
        <v>14</v>
      </c>
      <c r="D253" s="10">
        <v>45599</v>
      </c>
      <c r="E253" s="8" t="s">
        <v>15</v>
      </c>
      <c r="F253" s="19">
        <v>15</v>
      </c>
      <c r="G253" s="20" t="s">
        <v>20</v>
      </c>
      <c r="H253" s="13" t="s">
        <v>15</v>
      </c>
      <c r="I253" s="15">
        <v>30</v>
      </c>
      <c r="J253" s="16" t="s">
        <v>15</v>
      </c>
      <c r="K253" s="17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266</v>
      </c>
      <c r="C254" s="23" t="s">
        <v>22</v>
      </c>
      <c r="D254" s="10">
        <v>45600</v>
      </c>
      <c r="E254" s="8" t="s">
        <v>19</v>
      </c>
      <c r="F254" s="19">
        <v>10</v>
      </c>
      <c r="G254" s="20" t="s">
        <v>16</v>
      </c>
      <c r="H254" s="13" t="s">
        <v>19</v>
      </c>
      <c r="I254" s="15" t="s">
        <v>307</v>
      </c>
      <c r="J254" s="16" t="s">
        <v>15</v>
      </c>
      <c r="K254" s="17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267</v>
      </c>
      <c r="C255" s="23" t="s">
        <v>18</v>
      </c>
      <c r="D255" s="10">
        <v>45601</v>
      </c>
      <c r="E255" s="8" t="s">
        <v>15</v>
      </c>
      <c r="F255" s="19">
        <v>5</v>
      </c>
      <c r="G255" s="20" t="s">
        <v>23</v>
      </c>
      <c r="H255" s="13" t="s">
        <v>19</v>
      </c>
      <c r="I255" s="15" t="s">
        <v>307</v>
      </c>
      <c r="J255" s="16" t="s">
        <v>19</v>
      </c>
      <c r="K255" s="17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268</v>
      </c>
      <c r="C256" s="23" t="s">
        <v>14</v>
      </c>
      <c r="D256" s="10">
        <v>45602</v>
      </c>
      <c r="E256" s="8" t="s">
        <v>19</v>
      </c>
      <c r="F256" s="19">
        <v>15</v>
      </c>
      <c r="G256" s="20" t="s">
        <v>16</v>
      </c>
      <c r="H256" s="13" t="s">
        <v>15</v>
      </c>
      <c r="I256" s="15">
        <v>30</v>
      </c>
      <c r="J256" s="16" t="s">
        <v>15</v>
      </c>
      <c r="K256" s="17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269</v>
      </c>
      <c r="C257" s="23" t="s">
        <v>18</v>
      </c>
      <c r="D257" s="10">
        <v>45603</v>
      </c>
      <c r="E257" s="8" t="s">
        <v>15</v>
      </c>
      <c r="F257" s="19">
        <v>5</v>
      </c>
      <c r="G257" s="20" t="s">
        <v>16</v>
      </c>
      <c r="H257" s="13" t="s">
        <v>19</v>
      </c>
      <c r="I257" s="15" t="s">
        <v>307</v>
      </c>
      <c r="J257" s="16" t="s">
        <v>19</v>
      </c>
      <c r="K257" s="17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270</v>
      </c>
      <c r="C258" s="23" t="s">
        <v>14</v>
      </c>
      <c r="D258" s="10">
        <v>45604</v>
      </c>
      <c r="E258" s="8" t="s">
        <v>19</v>
      </c>
      <c r="F258" s="19">
        <v>15</v>
      </c>
      <c r="G258" s="20" t="s">
        <v>23</v>
      </c>
      <c r="H258" s="13" t="s">
        <v>15</v>
      </c>
      <c r="I258" s="15">
        <v>30</v>
      </c>
      <c r="J258" s="16" t="s">
        <v>15</v>
      </c>
      <c r="K258" s="17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271</v>
      </c>
      <c r="C259" s="23" t="s">
        <v>22</v>
      </c>
      <c r="D259" s="10">
        <v>45605</v>
      </c>
      <c r="E259" s="8" t="s">
        <v>15</v>
      </c>
      <c r="F259" s="19">
        <v>10</v>
      </c>
      <c r="G259" s="20" t="s">
        <v>20</v>
      </c>
      <c r="H259" s="13" t="s">
        <v>19</v>
      </c>
      <c r="I259" s="15" t="s">
        <v>307</v>
      </c>
      <c r="J259" s="16" t="s">
        <v>15</v>
      </c>
      <c r="K259" s="17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272</v>
      </c>
      <c r="C260" s="23" t="s">
        <v>18</v>
      </c>
      <c r="D260" s="10">
        <v>45606</v>
      </c>
      <c r="E260" s="8" t="s">
        <v>19</v>
      </c>
      <c r="F260" s="19">
        <v>5</v>
      </c>
      <c r="G260" s="20" t="s">
        <v>23</v>
      </c>
      <c r="H260" s="13" t="s">
        <v>19</v>
      </c>
      <c r="I260" s="15" t="s">
        <v>307</v>
      </c>
      <c r="J260" s="16" t="s">
        <v>19</v>
      </c>
      <c r="K260" s="17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273</v>
      </c>
      <c r="C261" s="23" t="s">
        <v>14</v>
      </c>
      <c r="D261" s="10">
        <v>45607</v>
      </c>
      <c r="E261" s="8" t="s">
        <v>15</v>
      </c>
      <c r="F261" s="19">
        <v>15</v>
      </c>
      <c r="G261" s="20" t="s">
        <v>16</v>
      </c>
      <c r="H261" s="13" t="s">
        <v>15</v>
      </c>
      <c r="I261" s="15">
        <v>30</v>
      </c>
      <c r="J261" s="16" t="s">
        <v>15</v>
      </c>
      <c r="K261" s="17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274</v>
      </c>
      <c r="C262" s="23" t="s">
        <v>22</v>
      </c>
      <c r="D262" s="10">
        <v>45608</v>
      </c>
      <c r="E262" s="8" t="s">
        <v>19</v>
      </c>
      <c r="F262" s="19">
        <v>10</v>
      </c>
      <c r="G262" s="20" t="s">
        <v>16</v>
      </c>
      <c r="H262" s="13" t="s">
        <v>19</v>
      </c>
      <c r="I262" s="15" t="s">
        <v>307</v>
      </c>
      <c r="J262" s="16" t="s">
        <v>15</v>
      </c>
      <c r="K262" s="17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275</v>
      </c>
      <c r="C263" s="23" t="s">
        <v>18</v>
      </c>
      <c r="D263" s="10">
        <v>45609</v>
      </c>
      <c r="E263" s="8" t="s">
        <v>15</v>
      </c>
      <c r="F263" s="19">
        <v>5</v>
      </c>
      <c r="G263" s="20" t="s">
        <v>20</v>
      </c>
      <c r="H263" s="13" t="s">
        <v>19</v>
      </c>
      <c r="I263" s="15" t="s">
        <v>307</v>
      </c>
      <c r="J263" s="16" t="s">
        <v>19</v>
      </c>
      <c r="K263" s="17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276</v>
      </c>
      <c r="C264" s="23" t="s">
        <v>14</v>
      </c>
      <c r="D264" s="10">
        <v>45610</v>
      </c>
      <c r="E264" s="8" t="s">
        <v>19</v>
      </c>
      <c r="F264" s="19">
        <v>15</v>
      </c>
      <c r="G264" s="20" t="s">
        <v>23</v>
      </c>
      <c r="H264" s="13" t="s">
        <v>15</v>
      </c>
      <c r="I264" s="15">
        <v>30</v>
      </c>
      <c r="J264" s="16" t="s">
        <v>15</v>
      </c>
      <c r="K264" s="17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277</v>
      </c>
      <c r="C265" s="23" t="s">
        <v>22</v>
      </c>
      <c r="D265" s="10">
        <v>45611</v>
      </c>
      <c r="E265" s="8" t="s">
        <v>15</v>
      </c>
      <c r="F265" s="19">
        <v>10</v>
      </c>
      <c r="G265" s="20" t="s">
        <v>23</v>
      </c>
      <c r="H265" s="13" t="s">
        <v>19</v>
      </c>
      <c r="I265" s="15" t="s">
        <v>307</v>
      </c>
      <c r="J265" s="16" t="s">
        <v>15</v>
      </c>
      <c r="K265" s="17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278</v>
      </c>
      <c r="C266" s="23" t="s">
        <v>18</v>
      </c>
      <c r="D266" s="10">
        <v>45612</v>
      </c>
      <c r="E266" s="8" t="s">
        <v>19</v>
      </c>
      <c r="F266" s="19">
        <v>5</v>
      </c>
      <c r="G266" s="20" t="s">
        <v>16</v>
      </c>
      <c r="H266" s="13" t="s">
        <v>19</v>
      </c>
      <c r="I266" s="15" t="s">
        <v>307</v>
      </c>
      <c r="J266" s="16" t="s">
        <v>19</v>
      </c>
      <c r="K266" s="17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279</v>
      </c>
      <c r="C267" s="23" t="s">
        <v>14</v>
      </c>
      <c r="D267" s="10">
        <v>45613</v>
      </c>
      <c r="E267" s="8" t="s">
        <v>15</v>
      </c>
      <c r="F267" s="19">
        <v>15</v>
      </c>
      <c r="G267" s="20" t="s">
        <v>20</v>
      </c>
      <c r="H267" s="13" t="s">
        <v>15</v>
      </c>
      <c r="I267" s="15">
        <v>30</v>
      </c>
      <c r="J267" s="16" t="s">
        <v>15</v>
      </c>
      <c r="K267" s="17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280</v>
      </c>
      <c r="C268" s="23" t="s">
        <v>22</v>
      </c>
      <c r="D268" s="10">
        <v>45614</v>
      </c>
      <c r="E268" s="8" t="s">
        <v>19</v>
      </c>
      <c r="F268" s="19">
        <v>10</v>
      </c>
      <c r="G268" s="20" t="s">
        <v>16</v>
      </c>
      <c r="H268" s="13" t="s">
        <v>19</v>
      </c>
      <c r="I268" s="15" t="s">
        <v>307</v>
      </c>
      <c r="J268" s="16" t="s">
        <v>15</v>
      </c>
      <c r="K268" s="17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281</v>
      </c>
      <c r="C269" s="23" t="s">
        <v>18</v>
      </c>
      <c r="D269" s="10">
        <v>45615</v>
      </c>
      <c r="E269" s="8" t="s">
        <v>15</v>
      </c>
      <c r="F269" s="19">
        <v>5</v>
      </c>
      <c r="G269" s="20" t="s">
        <v>23</v>
      </c>
      <c r="H269" s="13" t="s">
        <v>19</v>
      </c>
      <c r="I269" s="15" t="s">
        <v>307</v>
      </c>
      <c r="J269" s="16" t="s">
        <v>19</v>
      </c>
      <c r="K269" s="17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282</v>
      </c>
      <c r="C270" s="23" t="s">
        <v>14</v>
      </c>
      <c r="D270" s="10">
        <v>45616</v>
      </c>
      <c r="E270" s="8" t="s">
        <v>19</v>
      </c>
      <c r="F270" s="19">
        <v>15</v>
      </c>
      <c r="G270" s="20" t="s">
        <v>16</v>
      </c>
      <c r="H270" s="13" t="s">
        <v>15</v>
      </c>
      <c r="I270" s="15">
        <v>30</v>
      </c>
      <c r="J270" s="16" t="s">
        <v>15</v>
      </c>
      <c r="K270" s="17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283</v>
      </c>
      <c r="C271" s="23" t="s">
        <v>22</v>
      </c>
      <c r="D271" s="10">
        <v>45617</v>
      </c>
      <c r="E271" s="8" t="s">
        <v>15</v>
      </c>
      <c r="F271" s="19">
        <v>10</v>
      </c>
      <c r="G271" s="20" t="s">
        <v>20</v>
      </c>
      <c r="H271" s="13" t="s">
        <v>19</v>
      </c>
      <c r="I271" s="15" t="s">
        <v>307</v>
      </c>
      <c r="J271" s="16" t="s">
        <v>15</v>
      </c>
      <c r="K271" s="17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284</v>
      </c>
      <c r="C272" s="23" t="s">
        <v>18</v>
      </c>
      <c r="D272" s="10">
        <v>45618</v>
      </c>
      <c r="E272" s="8" t="s">
        <v>19</v>
      </c>
      <c r="F272" s="19">
        <v>5</v>
      </c>
      <c r="G272" s="20" t="s">
        <v>16</v>
      </c>
      <c r="H272" s="13" t="s">
        <v>19</v>
      </c>
      <c r="I272" s="15" t="s">
        <v>307</v>
      </c>
      <c r="J272" s="16" t="s">
        <v>19</v>
      </c>
      <c r="K272" s="17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285</v>
      </c>
      <c r="C273" s="23" t="s">
        <v>14</v>
      </c>
      <c r="D273" s="10">
        <v>45619</v>
      </c>
      <c r="E273" s="8" t="s">
        <v>15</v>
      </c>
      <c r="F273" s="19">
        <v>15</v>
      </c>
      <c r="G273" s="20" t="s">
        <v>23</v>
      </c>
      <c r="H273" s="13" t="s">
        <v>15</v>
      </c>
      <c r="I273" s="15">
        <v>30</v>
      </c>
      <c r="J273" s="16" t="s">
        <v>15</v>
      </c>
      <c r="K273" s="17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144</v>
      </c>
      <c r="C274" s="23" t="s">
        <v>22</v>
      </c>
      <c r="D274" s="10">
        <v>45620</v>
      </c>
      <c r="E274" s="8" t="s">
        <v>19</v>
      </c>
      <c r="F274" s="19">
        <v>10</v>
      </c>
      <c r="G274" s="20" t="s">
        <v>16</v>
      </c>
      <c r="H274" s="13" t="s">
        <v>19</v>
      </c>
      <c r="I274" s="15" t="s">
        <v>307</v>
      </c>
      <c r="J274" s="16" t="s">
        <v>15</v>
      </c>
      <c r="K274" s="17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286</v>
      </c>
      <c r="C275" s="23" t="s">
        <v>18</v>
      </c>
      <c r="D275" s="10">
        <v>45621</v>
      </c>
      <c r="E275" s="8" t="s">
        <v>15</v>
      </c>
      <c r="F275" s="19">
        <v>5</v>
      </c>
      <c r="G275" s="20" t="s">
        <v>20</v>
      </c>
      <c r="H275" s="13" t="s">
        <v>19</v>
      </c>
      <c r="I275" s="15" t="s">
        <v>307</v>
      </c>
      <c r="J275" s="16" t="s">
        <v>19</v>
      </c>
      <c r="K275" s="17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287</v>
      </c>
      <c r="C276" s="23" t="s">
        <v>14</v>
      </c>
      <c r="D276" s="10">
        <v>45622</v>
      </c>
      <c r="E276" s="8" t="s">
        <v>19</v>
      </c>
      <c r="F276" s="19">
        <v>15</v>
      </c>
      <c r="G276" s="20" t="s">
        <v>16</v>
      </c>
      <c r="H276" s="13" t="s">
        <v>15</v>
      </c>
      <c r="I276" s="15">
        <v>30</v>
      </c>
      <c r="J276" s="16" t="s">
        <v>15</v>
      </c>
      <c r="K276" s="17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288</v>
      </c>
      <c r="C277" s="23" t="s">
        <v>22</v>
      </c>
      <c r="D277" s="10">
        <v>45623</v>
      </c>
      <c r="E277" s="8" t="s">
        <v>15</v>
      </c>
      <c r="F277" s="19">
        <v>10</v>
      </c>
      <c r="G277" s="20" t="s">
        <v>23</v>
      </c>
      <c r="H277" s="13" t="s">
        <v>19</v>
      </c>
      <c r="I277" s="15" t="s">
        <v>307</v>
      </c>
      <c r="J277" s="16" t="s">
        <v>15</v>
      </c>
      <c r="K277" s="17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289</v>
      </c>
      <c r="C278" s="23" t="s">
        <v>18</v>
      </c>
      <c r="D278" s="10">
        <v>45624</v>
      </c>
      <c r="E278" s="8" t="s">
        <v>19</v>
      </c>
      <c r="F278" s="19">
        <v>5</v>
      </c>
      <c r="G278" s="20" t="s">
        <v>16</v>
      </c>
      <c r="H278" s="13" t="s">
        <v>19</v>
      </c>
      <c r="I278" s="15" t="s">
        <v>307</v>
      </c>
      <c r="J278" s="16" t="s">
        <v>19</v>
      </c>
      <c r="K278" s="17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290</v>
      </c>
      <c r="C279" s="23" t="s">
        <v>14</v>
      </c>
      <c r="D279" s="10">
        <v>45625</v>
      </c>
      <c r="E279" s="8" t="s">
        <v>15</v>
      </c>
      <c r="F279" s="19">
        <v>15</v>
      </c>
      <c r="G279" s="20" t="s">
        <v>20</v>
      </c>
      <c r="H279" s="13" t="s">
        <v>15</v>
      </c>
      <c r="I279" s="15">
        <v>30</v>
      </c>
      <c r="J279" s="16" t="s">
        <v>15</v>
      </c>
      <c r="K279" s="17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291</v>
      </c>
      <c r="C280" s="23" t="s">
        <v>22</v>
      </c>
      <c r="D280" s="10">
        <v>45626</v>
      </c>
      <c r="E280" s="8" t="s">
        <v>19</v>
      </c>
      <c r="F280" s="19">
        <v>10</v>
      </c>
      <c r="G280" s="20" t="s">
        <v>16</v>
      </c>
      <c r="H280" s="13" t="s">
        <v>19</v>
      </c>
      <c r="I280" s="15" t="s">
        <v>307</v>
      </c>
      <c r="J280" s="16" t="s">
        <v>15</v>
      </c>
      <c r="K280" s="17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292</v>
      </c>
      <c r="C281" s="23" t="s">
        <v>18</v>
      </c>
      <c r="D281" s="10">
        <v>45627</v>
      </c>
      <c r="E281" s="8" t="s">
        <v>15</v>
      </c>
      <c r="F281" s="19">
        <v>5</v>
      </c>
      <c r="G281" s="20" t="s">
        <v>23</v>
      </c>
      <c r="H281" s="13" t="s">
        <v>19</v>
      </c>
      <c r="I281" s="15" t="s">
        <v>307</v>
      </c>
      <c r="J281" s="16" t="s">
        <v>19</v>
      </c>
      <c r="K281" s="17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293</v>
      </c>
      <c r="C282" s="23" t="s">
        <v>14</v>
      </c>
      <c r="D282" s="10">
        <v>45628</v>
      </c>
      <c r="E282" s="8" t="s">
        <v>19</v>
      </c>
      <c r="F282" s="19">
        <v>15</v>
      </c>
      <c r="G282" s="20" t="s">
        <v>16</v>
      </c>
      <c r="H282" s="13" t="s">
        <v>15</v>
      </c>
      <c r="I282" s="15">
        <v>30</v>
      </c>
      <c r="J282" s="16" t="s">
        <v>15</v>
      </c>
      <c r="K282" s="17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294</v>
      </c>
      <c r="C283" s="23" t="s">
        <v>22</v>
      </c>
      <c r="D283" s="10">
        <v>45629</v>
      </c>
      <c r="E283" s="8" t="s">
        <v>15</v>
      </c>
      <c r="F283" s="19">
        <v>10</v>
      </c>
      <c r="G283" s="20" t="s">
        <v>20</v>
      </c>
      <c r="H283" s="13" t="s">
        <v>19</v>
      </c>
      <c r="I283" s="15" t="s">
        <v>307</v>
      </c>
      <c r="J283" s="16" t="s">
        <v>15</v>
      </c>
      <c r="K283" s="17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295</v>
      </c>
      <c r="C284" s="23" t="s">
        <v>18</v>
      </c>
      <c r="D284" s="10">
        <v>45630</v>
      </c>
      <c r="E284" s="8" t="s">
        <v>19</v>
      </c>
      <c r="F284" s="19">
        <v>5</v>
      </c>
      <c r="G284" s="20" t="s">
        <v>16</v>
      </c>
      <c r="H284" s="13" t="s">
        <v>19</v>
      </c>
      <c r="I284" s="15" t="s">
        <v>307</v>
      </c>
      <c r="J284" s="16" t="s">
        <v>19</v>
      </c>
      <c r="K284" s="17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296</v>
      </c>
      <c r="C285" s="23" t="s">
        <v>14</v>
      </c>
      <c r="D285" s="10">
        <v>45631</v>
      </c>
      <c r="E285" s="8" t="s">
        <v>15</v>
      </c>
      <c r="F285" s="19">
        <v>15</v>
      </c>
      <c r="G285" s="20" t="s">
        <v>23</v>
      </c>
      <c r="H285" s="13" t="s">
        <v>15</v>
      </c>
      <c r="I285" s="15">
        <v>30</v>
      </c>
      <c r="J285" s="16" t="s">
        <v>15</v>
      </c>
      <c r="K285" s="17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155</v>
      </c>
      <c r="C286" s="23" t="s">
        <v>22</v>
      </c>
      <c r="D286" s="10">
        <v>45632</v>
      </c>
      <c r="E286" s="8" t="s">
        <v>19</v>
      </c>
      <c r="F286" s="19">
        <v>10</v>
      </c>
      <c r="G286" s="20" t="s">
        <v>16</v>
      </c>
      <c r="H286" s="13" t="s">
        <v>19</v>
      </c>
      <c r="I286" s="15" t="s">
        <v>307</v>
      </c>
      <c r="J286" s="16" t="s">
        <v>15</v>
      </c>
      <c r="K286" s="17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156</v>
      </c>
      <c r="C287" s="23" t="s">
        <v>18</v>
      </c>
      <c r="D287" s="10">
        <v>45633</v>
      </c>
      <c r="E287" s="8" t="s">
        <v>15</v>
      </c>
      <c r="F287" s="19">
        <v>5</v>
      </c>
      <c r="G287" s="20" t="s">
        <v>20</v>
      </c>
      <c r="H287" s="13" t="s">
        <v>19</v>
      </c>
      <c r="I287" s="15" t="s">
        <v>307</v>
      </c>
      <c r="J287" s="16" t="s">
        <v>19</v>
      </c>
      <c r="K287" s="17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206</v>
      </c>
      <c r="C288" s="23" t="s">
        <v>14</v>
      </c>
      <c r="D288" s="10">
        <v>45634</v>
      </c>
      <c r="E288" s="8" t="s">
        <v>19</v>
      </c>
      <c r="F288" s="19">
        <v>15</v>
      </c>
      <c r="G288" s="20" t="s">
        <v>16</v>
      </c>
      <c r="H288" s="13" t="s">
        <v>15</v>
      </c>
      <c r="I288" s="15">
        <v>30</v>
      </c>
      <c r="J288" s="16" t="s">
        <v>15</v>
      </c>
      <c r="K288" s="17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297</v>
      </c>
      <c r="C289" s="23" t="s">
        <v>22</v>
      </c>
      <c r="D289" s="10">
        <v>45635</v>
      </c>
      <c r="E289" s="8" t="s">
        <v>15</v>
      </c>
      <c r="F289" s="19">
        <v>10</v>
      </c>
      <c r="G289" s="20" t="s">
        <v>23</v>
      </c>
      <c r="H289" s="13" t="s">
        <v>19</v>
      </c>
      <c r="I289" s="15" t="s">
        <v>307</v>
      </c>
      <c r="J289" s="16" t="s">
        <v>15</v>
      </c>
      <c r="K289" s="17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298</v>
      </c>
      <c r="C290" s="23" t="s">
        <v>18</v>
      </c>
      <c r="D290" s="10">
        <v>45636</v>
      </c>
      <c r="E290" s="8" t="s">
        <v>19</v>
      </c>
      <c r="F290" s="19">
        <v>5</v>
      </c>
      <c r="G290" s="20" t="s">
        <v>16</v>
      </c>
      <c r="H290" s="13" t="s">
        <v>19</v>
      </c>
      <c r="I290" s="15" t="s">
        <v>307</v>
      </c>
      <c r="J290" s="16" t="s">
        <v>19</v>
      </c>
      <c r="K290" s="17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299</v>
      </c>
      <c r="C291" s="23" t="s">
        <v>14</v>
      </c>
      <c r="D291" s="10">
        <v>45637</v>
      </c>
      <c r="E291" s="8" t="s">
        <v>15</v>
      </c>
      <c r="F291" s="19">
        <v>15</v>
      </c>
      <c r="G291" s="20" t="s">
        <v>20</v>
      </c>
      <c r="H291" s="13" t="s">
        <v>15</v>
      </c>
      <c r="I291" s="15">
        <v>30</v>
      </c>
      <c r="J291" s="16" t="s">
        <v>15</v>
      </c>
      <c r="K291" s="17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300</v>
      </c>
      <c r="C292" s="23" t="s">
        <v>22</v>
      </c>
      <c r="D292" s="10">
        <v>45638</v>
      </c>
      <c r="E292" s="8" t="s">
        <v>19</v>
      </c>
      <c r="F292" s="19">
        <v>10</v>
      </c>
      <c r="G292" s="20" t="s">
        <v>16</v>
      </c>
      <c r="H292" s="13" t="s">
        <v>19</v>
      </c>
      <c r="I292" s="15" t="s">
        <v>307</v>
      </c>
      <c r="J292" s="16" t="s">
        <v>15</v>
      </c>
      <c r="K292" s="17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301</v>
      </c>
      <c r="C293" s="23" t="s">
        <v>18</v>
      </c>
      <c r="D293" s="10">
        <v>45639</v>
      </c>
      <c r="E293" s="8" t="s">
        <v>15</v>
      </c>
      <c r="F293" s="19">
        <v>5</v>
      </c>
      <c r="G293" s="20" t="s">
        <v>23</v>
      </c>
      <c r="H293" s="13" t="s">
        <v>19</v>
      </c>
      <c r="I293" s="15" t="s">
        <v>307</v>
      </c>
      <c r="J293" s="16" t="s">
        <v>19</v>
      </c>
      <c r="K293" s="17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302</v>
      </c>
      <c r="C294" s="23" t="s">
        <v>14</v>
      </c>
      <c r="D294" s="10">
        <v>45640</v>
      </c>
      <c r="E294" s="8" t="s">
        <v>19</v>
      </c>
      <c r="F294" s="19">
        <v>15</v>
      </c>
      <c r="G294" s="20" t="s">
        <v>16</v>
      </c>
      <c r="H294" s="13" t="s">
        <v>15</v>
      </c>
      <c r="I294" s="15">
        <v>30</v>
      </c>
      <c r="J294" s="16" t="s">
        <v>15</v>
      </c>
      <c r="K294" s="17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303</v>
      </c>
      <c r="C295" s="23" t="s">
        <v>22</v>
      </c>
      <c r="D295" s="10">
        <v>45641</v>
      </c>
      <c r="E295" s="8" t="s">
        <v>15</v>
      </c>
      <c r="F295" s="19">
        <v>10</v>
      </c>
      <c r="G295" s="20" t="s">
        <v>20</v>
      </c>
      <c r="H295" s="13" t="s">
        <v>19</v>
      </c>
      <c r="I295" s="15" t="s">
        <v>307</v>
      </c>
      <c r="J295" s="16" t="s">
        <v>15</v>
      </c>
      <c r="K295" s="17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304</v>
      </c>
      <c r="C296" s="23" t="s">
        <v>18</v>
      </c>
      <c r="D296" s="10">
        <v>45642</v>
      </c>
      <c r="E296" s="8" t="s">
        <v>19</v>
      </c>
      <c r="F296" s="19">
        <v>5</v>
      </c>
      <c r="G296" s="20" t="s">
        <v>16</v>
      </c>
      <c r="H296" s="13" t="s">
        <v>19</v>
      </c>
      <c r="I296" s="15" t="s">
        <v>307</v>
      </c>
      <c r="J296" s="16" t="s">
        <v>19</v>
      </c>
      <c r="K296" s="17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D658"/>
  <sheetViews>
    <sheetView showGridLines="0" workbookViewId="0">
      <selection activeCell="B6" sqref="B6"/>
    </sheetView>
  </sheetViews>
  <sheetFormatPr defaultRowHeight="14.4" x14ac:dyDescent="0.3"/>
  <cols>
    <col min="1" max="1" width="16.77734375" bestFit="1" customWidth="1"/>
    <col min="2" max="2" width="17.88671875" bestFit="1" customWidth="1"/>
    <col min="3" max="294" width="18.109375" bestFit="1" customWidth="1"/>
    <col min="295" max="295" width="10" bestFit="1" customWidth="1"/>
  </cols>
  <sheetData>
    <row r="2" spans="1:3" x14ac:dyDescent="0.3">
      <c r="A2" t="s">
        <v>311</v>
      </c>
      <c r="B2" s="12" t="s">
        <v>312</v>
      </c>
    </row>
    <row r="3" spans="1:3" ht="15" thickBot="1" x14ac:dyDescent="0.35">
      <c r="B3" s="12"/>
    </row>
    <row r="4" spans="1:3" x14ac:dyDescent="0.3">
      <c r="A4" s="28" t="s">
        <v>313</v>
      </c>
      <c r="B4" s="29"/>
      <c r="C4" s="30"/>
    </row>
    <row r="5" spans="1:3" ht="15" thickBot="1" x14ac:dyDescent="0.35">
      <c r="A5" s="31"/>
      <c r="B5" s="12"/>
      <c r="C5" s="32"/>
    </row>
    <row r="6" spans="1:3" ht="15" thickBot="1" x14ac:dyDescent="0.35">
      <c r="A6" s="39" t="s">
        <v>309</v>
      </c>
      <c r="B6" s="43" t="s">
        <v>314</v>
      </c>
      <c r="C6" s="32"/>
    </row>
    <row r="7" spans="1:3" x14ac:dyDescent="0.3">
      <c r="A7" s="40" t="s">
        <v>19</v>
      </c>
      <c r="B7" s="36">
        <v>147</v>
      </c>
      <c r="C7" s="32"/>
    </row>
    <row r="8" spans="1:3" ht="15" thickBot="1" x14ac:dyDescent="0.35">
      <c r="A8" s="41" t="s">
        <v>15</v>
      </c>
      <c r="B8" s="37">
        <v>148</v>
      </c>
      <c r="C8" s="32"/>
    </row>
    <row r="9" spans="1:3" ht="15" thickBot="1" x14ac:dyDescent="0.35">
      <c r="A9" s="42" t="s">
        <v>310</v>
      </c>
      <c r="B9" s="38">
        <v>295</v>
      </c>
      <c r="C9" s="33">
        <f>GETPIVOTDATA("Subscriber ID",$A$6)</f>
        <v>295</v>
      </c>
    </row>
    <row r="10" spans="1:3" ht="15" thickBot="1" x14ac:dyDescent="0.35"/>
    <row r="11" spans="1:3" x14ac:dyDescent="0.3">
      <c r="A11" s="28" t="s">
        <v>317</v>
      </c>
      <c r="B11" s="34"/>
      <c r="C11" s="30"/>
    </row>
    <row r="12" spans="1:3" ht="15" thickBot="1" x14ac:dyDescent="0.35">
      <c r="A12" s="31"/>
      <c r="C12" s="32"/>
    </row>
    <row r="13" spans="1:3" ht="15" thickBot="1" x14ac:dyDescent="0.35">
      <c r="A13" s="39" t="s">
        <v>309</v>
      </c>
      <c r="B13" s="43" t="s">
        <v>315</v>
      </c>
      <c r="C13" s="32"/>
    </row>
    <row r="14" spans="1:3" x14ac:dyDescent="0.3">
      <c r="A14" s="40" t="s">
        <v>19</v>
      </c>
      <c r="B14" s="44">
        <v>3847</v>
      </c>
      <c r="C14" s="32"/>
    </row>
    <row r="15" spans="1:3" ht="15" thickBot="1" x14ac:dyDescent="0.35">
      <c r="A15" s="41" t="s">
        <v>15</v>
      </c>
      <c r="B15" s="71">
        <v>3786</v>
      </c>
      <c r="C15" s="32"/>
    </row>
    <row r="16" spans="1:3" ht="15" thickBot="1" x14ac:dyDescent="0.35">
      <c r="A16" s="42" t="s">
        <v>310</v>
      </c>
      <c r="B16" s="45">
        <v>7633</v>
      </c>
      <c r="C16" s="35">
        <f>GETPIVOTDATA("Total Value",$A$13)</f>
        <v>7633</v>
      </c>
    </row>
    <row r="17" spans="1:3" ht="15" thickBot="1" x14ac:dyDescent="0.35"/>
    <row r="18" spans="1:3" x14ac:dyDescent="0.3">
      <c r="A18" s="48" t="s">
        <v>316</v>
      </c>
      <c r="B18" s="49"/>
      <c r="C18" s="50"/>
    </row>
    <row r="19" spans="1:3" ht="15" thickBot="1" x14ac:dyDescent="0.35">
      <c r="A19" s="51"/>
      <c r="B19" s="52"/>
      <c r="C19" s="53"/>
    </row>
    <row r="20" spans="1:3" ht="15" thickBot="1" x14ac:dyDescent="0.35">
      <c r="A20" s="54" t="s">
        <v>12</v>
      </c>
      <c r="B20" s="55" t="s">
        <v>20</v>
      </c>
      <c r="C20" s="53"/>
    </row>
    <row r="21" spans="1:3" ht="15" thickBot="1" x14ac:dyDescent="0.35">
      <c r="A21" s="68"/>
      <c r="B21" s="52"/>
      <c r="C21" s="53"/>
    </row>
    <row r="22" spans="1:3" ht="15" thickBot="1" x14ac:dyDescent="0.35">
      <c r="A22" s="56" t="s">
        <v>309</v>
      </c>
      <c r="B22" s="56" t="s">
        <v>315</v>
      </c>
      <c r="C22" s="53"/>
    </row>
    <row r="23" spans="1:3" x14ac:dyDescent="0.3">
      <c r="A23" s="57" t="s">
        <v>18</v>
      </c>
      <c r="B23" s="65">
        <v>120</v>
      </c>
      <c r="C23" s="53"/>
    </row>
    <row r="24" spans="1:3" x14ac:dyDescent="0.3">
      <c r="A24" s="59" t="s">
        <v>22</v>
      </c>
      <c r="B24" s="66">
        <v>448</v>
      </c>
      <c r="C24" s="53"/>
    </row>
    <row r="25" spans="1:3" ht="15" thickBot="1" x14ac:dyDescent="0.35">
      <c r="A25" s="61" t="s">
        <v>14</v>
      </c>
      <c r="B25" s="66">
        <v>1186</v>
      </c>
      <c r="C25" s="53"/>
    </row>
    <row r="26" spans="1:3" ht="15" thickBot="1" x14ac:dyDescent="0.35">
      <c r="A26" s="62" t="s">
        <v>310</v>
      </c>
      <c r="B26" s="67">
        <v>1754</v>
      </c>
      <c r="C26" s="69"/>
    </row>
    <row r="27" spans="1:3" ht="15" thickBot="1" x14ac:dyDescent="0.35"/>
    <row r="28" spans="1:3" x14ac:dyDescent="0.3">
      <c r="A28" s="48" t="s">
        <v>318</v>
      </c>
      <c r="B28" s="49"/>
      <c r="C28" s="50"/>
    </row>
    <row r="29" spans="1:3" ht="15" thickBot="1" x14ac:dyDescent="0.35">
      <c r="A29" s="51"/>
      <c r="B29" s="52"/>
      <c r="C29" s="53"/>
    </row>
    <row r="30" spans="1:3" ht="15" thickBot="1" x14ac:dyDescent="0.35">
      <c r="A30" s="54" t="s">
        <v>12</v>
      </c>
      <c r="B30" s="55" t="s">
        <v>20</v>
      </c>
      <c r="C30" s="53"/>
    </row>
    <row r="31" spans="1:3" ht="15" thickBot="1" x14ac:dyDescent="0.35">
      <c r="A31" s="51"/>
      <c r="B31" s="52"/>
      <c r="C31" s="53"/>
    </row>
    <row r="32" spans="1:3" ht="15" thickBot="1" x14ac:dyDescent="0.35">
      <c r="A32" s="56" t="s">
        <v>309</v>
      </c>
      <c r="B32" s="56" t="s">
        <v>319</v>
      </c>
      <c r="C32" s="53"/>
    </row>
    <row r="33" spans="1:3" x14ac:dyDescent="0.3">
      <c r="A33" s="57" t="s">
        <v>18</v>
      </c>
      <c r="B33" s="58">
        <v>0</v>
      </c>
      <c r="C33" s="53"/>
    </row>
    <row r="34" spans="1:3" x14ac:dyDescent="0.3">
      <c r="A34" s="59" t="s">
        <v>22</v>
      </c>
      <c r="B34" s="60">
        <v>0</v>
      </c>
      <c r="C34" s="53"/>
    </row>
    <row r="35" spans="1:3" ht="15" thickBot="1" x14ac:dyDescent="0.35">
      <c r="A35" s="61" t="s">
        <v>14</v>
      </c>
      <c r="B35" s="60">
        <v>600</v>
      </c>
      <c r="C35" s="53"/>
    </row>
    <row r="36" spans="1:3" ht="15" thickBot="1" x14ac:dyDescent="0.35">
      <c r="A36" s="62" t="s">
        <v>310</v>
      </c>
      <c r="B36" s="63">
        <v>600</v>
      </c>
      <c r="C36" s="64">
        <f>GETPIVOTDATA("EA Play Season Pass
Price",$A$32)</f>
        <v>600</v>
      </c>
    </row>
    <row r="37" spans="1:3" ht="15" thickBot="1" x14ac:dyDescent="0.35">
      <c r="A37" s="52"/>
      <c r="B37" s="52"/>
      <c r="C37" s="52"/>
    </row>
    <row r="38" spans="1:3" x14ac:dyDescent="0.3">
      <c r="A38" s="48" t="s">
        <v>320</v>
      </c>
      <c r="B38" s="49"/>
      <c r="C38" s="50"/>
    </row>
    <row r="39" spans="1:3" ht="15" thickBot="1" x14ac:dyDescent="0.35">
      <c r="A39" s="51"/>
      <c r="B39" s="52"/>
      <c r="C39" s="53"/>
    </row>
    <row r="40" spans="1:3" ht="15" thickBot="1" x14ac:dyDescent="0.35">
      <c r="A40" s="54" t="s">
        <v>12</v>
      </c>
      <c r="B40" s="55" t="s">
        <v>20</v>
      </c>
      <c r="C40" s="53"/>
    </row>
    <row r="41" spans="1:3" ht="15" thickBot="1" x14ac:dyDescent="0.35">
      <c r="A41" s="51"/>
      <c r="B41" s="52"/>
      <c r="C41" s="53"/>
    </row>
    <row r="42" spans="1:3" ht="15" thickBot="1" x14ac:dyDescent="0.35">
      <c r="A42" s="56" t="s">
        <v>309</v>
      </c>
      <c r="B42" s="56" t="s">
        <v>321</v>
      </c>
      <c r="C42" s="53"/>
    </row>
    <row r="43" spans="1:3" x14ac:dyDescent="0.3">
      <c r="A43" s="57" t="s">
        <v>18</v>
      </c>
      <c r="B43" s="65">
        <v>0</v>
      </c>
      <c r="C43" s="53"/>
    </row>
    <row r="44" spans="1:3" x14ac:dyDescent="0.3">
      <c r="A44" s="59" t="s">
        <v>22</v>
      </c>
      <c r="B44" s="66">
        <v>540</v>
      </c>
      <c r="C44" s="53"/>
    </row>
    <row r="45" spans="1:3" ht="15" thickBot="1" x14ac:dyDescent="0.35">
      <c r="A45" s="61" t="s">
        <v>14</v>
      </c>
      <c r="B45" s="66">
        <v>400</v>
      </c>
      <c r="C45" s="53"/>
    </row>
    <row r="46" spans="1:3" ht="15" thickBot="1" x14ac:dyDescent="0.35">
      <c r="A46" s="62" t="s">
        <v>310</v>
      </c>
      <c r="B46" s="67">
        <v>940</v>
      </c>
      <c r="C46" s="64">
        <f>GETPIVOTDATA("Minecraft Season Pass Price",$A$42)</f>
        <v>940</v>
      </c>
    </row>
    <row r="47" spans="1:3" ht="15" thickBot="1" x14ac:dyDescent="0.35"/>
    <row r="48" spans="1:3" x14ac:dyDescent="0.3">
      <c r="A48" s="48" t="s">
        <v>323</v>
      </c>
      <c r="B48" s="49"/>
      <c r="C48" s="50"/>
    </row>
    <row r="49" spans="1:4" ht="15" thickBot="1" x14ac:dyDescent="0.35">
      <c r="A49" s="68"/>
      <c r="B49" s="52"/>
      <c r="C49" s="53"/>
    </row>
    <row r="50" spans="1:4" ht="15" thickBot="1" x14ac:dyDescent="0.35">
      <c r="A50" s="56" t="s">
        <v>309</v>
      </c>
      <c r="B50" s="56" t="s">
        <v>322</v>
      </c>
      <c r="C50" s="53"/>
    </row>
    <row r="51" spans="1:4" x14ac:dyDescent="0.3">
      <c r="A51" s="57" t="s">
        <v>19</v>
      </c>
      <c r="B51" s="58">
        <v>197</v>
      </c>
      <c r="C51" s="53"/>
    </row>
    <row r="52" spans="1:4" ht="15" thickBot="1" x14ac:dyDescent="0.35">
      <c r="A52" s="61" t="s">
        <v>15</v>
      </c>
      <c r="B52" s="60">
        <v>98</v>
      </c>
      <c r="C52" s="53"/>
    </row>
    <row r="53" spans="1:4" ht="15" thickBot="1" x14ac:dyDescent="0.35">
      <c r="A53" s="62" t="s">
        <v>310</v>
      </c>
      <c r="B53" s="63">
        <v>295</v>
      </c>
      <c r="C53" s="70">
        <f>GETPIVOTDATA("Minecraft Season Pass",$A$50,"EA Play Season Pass","Yes")/GETPIVOTDATA("Minecraft Season Pass",$A$50)</f>
        <v>0.33220338983050846</v>
      </c>
    </row>
    <row r="54" spans="1:4" ht="15" thickBot="1" x14ac:dyDescent="0.35"/>
    <row r="55" spans="1:4" x14ac:dyDescent="0.3">
      <c r="A55" s="48" t="s">
        <v>336</v>
      </c>
      <c r="B55" s="49"/>
      <c r="C55" s="50"/>
      <c r="D55" s="14"/>
    </row>
    <row r="56" spans="1:4" ht="15" thickBot="1" x14ac:dyDescent="0.35">
      <c r="A56" s="68"/>
      <c r="B56" s="52"/>
      <c r="C56" s="53"/>
    </row>
    <row r="57" spans="1:4" ht="15" thickBot="1" x14ac:dyDescent="0.35">
      <c r="A57" s="56" t="s">
        <v>309</v>
      </c>
      <c r="B57" s="56" t="s">
        <v>315</v>
      </c>
      <c r="C57" s="53"/>
    </row>
    <row r="58" spans="1:4" x14ac:dyDescent="0.3">
      <c r="A58" s="57" t="s">
        <v>324</v>
      </c>
      <c r="B58" s="65">
        <v>65</v>
      </c>
      <c r="C58" s="53"/>
    </row>
    <row r="59" spans="1:4" x14ac:dyDescent="0.3">
      <c r="A59" s="59" t="s">
        <v>325</v>
      </c>
      <c r="B59" s="66">
        <v>82</v>
      </c>
      <c r="C59" s="53"/>
    </row>
    <row r="60" spans="1:4" x14ac:dyDescent="0.3">
      <c r="A60" s="59" t="s">
        <v>326</v>
      </c>
      <c r="B60" s="66">
        <v>801</v>
      </c>
      <c r="C60" s="53"/>
    </row>
    <row r="61" spans="1:4" x14ac:dyDescent="0.3">
      <c r="A61" s="59" t="s">
        <v>327</v>
      </c>
      <c r="B61" s="66">
        <v>782</v>
      </c>
      <c r="C61" s="53"/>
    </row>
    <row r="62" spans="1:4" x14ac:dyDescent="0.3">
      <c r="A62" s="59" t="s">
        <v>328</v>
      </c>
      <c r="B62" s="66">
        <v>777</v>
      </c>
      <c r="C62" s="53"/>
    </row>
    <row r="63" spans="1:4" x14ac:dyDescent="0.3">
      <c r="A63" s="59" t="s">
        <v>329</v>
      </c>
      <c r="B63" s="66">
        <v>770</v>
      </c>
      <c r="C63" s="53"/>
    </row>
    <row r="64" spans="1:4" x14ac:dyDescent="0.3">
      <c r="A64" s="59" t="s">
        <v>330</v>
      </c>
      <c r="B64" s="66">
        <v>784</v>
      </c>
      <c r="C64" s="53"/>
    </row>
    <row r="65" spans="1:3" x14ac:dyDescent="0.3">
      <c r="A65" s="59" t="s">
        <v>331</v>
      </c>
      <c r="B65" s="66">
        <v>787</v>
      </c>
      <c r="C65" s="53"/>
    </row>
    <row r="66" spans="1:3" x14ac:dyDescent="0.3">
      <c r="A66" s="59" t="s">
        <v>332</v>
      </c>
      <c r="B66" s="66">
        <v>780</v>
      </c>
      <c r="C66" s="53"/>
    </row>
    <row r="67" spans="1:3" x14ac:dyDescent="0.3">
      <c r="A67" s="59" t="s">
        <v>333</v>
      </c>
      <c r="B67" s="66">
        <v>832</v>
      </c>
      <c r="C67" s="53"/>
    </row>
    <row r="68" spans="1:3" x14ac:dyDescent="0.3">
      <c r="A68" s="59" t="s">
        <v>334</v>
      </c>
      <c r="B68" s="66">
        <v>784</v>
      </c>
      <c r="C68" s="53"/>
    </row>
    <row r="69" spans="1:3" ht="15" thickBot="1" x14ac:dyDescent="0.35">
      <c r="A69" s="61" t="s">
        <v>335</v>
      </c>
      <c r="B69" s="66">
        <v>389</v>
      </c>
      <c r="C69" s="53"/>
    </row>
    <row r="70" spans="1:3" ht="15" thickBot="1" x14ac:dyDescent="0.35">
      <c r="A70" s="62" t="s">
        <v>310</v>
      </c>
      <c r="B70" s="67">
        <v>7633</v>
      </c>
      <c r="C70" s="69"/>
    </row>
    <row r="94" ht="15" thickBot="1" x14ac:dyDescent="0.35"/>
    <row r="95" ht="15" thickBot="1" x14ac:dyDescent="0.35"/>
    <row r="125" ht="15" thickBot="1" x14ac:dyDescent="0.35"/>
    <row r="126" ht="15" thickBot="1" x14ac:dyDescent="0.35"/>
    <row r="157" ht="15" thickBot="1" x14ac:dyDescent="0.35"/>
    <row r="158" ht="15" thickBot="1" x14ac:dyDescent="0.35"/>
    <row r="188" ht="15" thickBot="1" x14ac:dyDescent="0.35"/>
    <row r="189" ht="15" thickBot="1" x14ac:dyDescent="0.35"/>
    <row r="220" ht="15" thickBot="1" x14ac:dyDescent="0.35"/>
    <row r="221" ht="15" thickBot="1" x14ac:dyDescent="0.35"/>
    <row r="252" ht="15" thickBot="1" x14ac:dyDescent="0.35"/>
    <row r="253" ht="15" thickBot="1" x14ac:dyDescent="0.35"/>
    <row r="283" ht="15" thickBot="1" x14ac:dyDescent="0.35"/>
    <row r="284" ht="15" thickBot="1" x14ac:dyDescent="0.35"/>
    <row r="315" ht="15" thickBot="1" x14ac:dyDescent="0.35"/>
    <row r="316" ht="15" thickBot="1" x14ac:dyDescent="0.35"/>
    <row r="346" ht="15" thickBot="1" x14ac:dyDescent="0.35"/>
    <row r="347" ht="15" thickBot="1" x14ac:dyDescent="0.35"/>
    <row r="657" ht="15" thickBot="1" x14ac:dyDescent="0.35"/>
    <row r="658" ht="15" thickBot="1" x14ac:dyDescent="0.35"/>
  </sheetData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P9"/>
  <sheetViews>
    <sheetView showGridLines="0" showRowColHeaders="0" tabSelected="1" zoomScale="80" zoomScaleNormal="80" workbookViewId="0">
      <selection activeCell="R2" sqref="R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6.88671875" style="4" customWidth="1"/>
    <col min="2" max="2" width="3.5546875" style="7" customWidth="1"/>
    <col min="3" max="11" width="8.88671875" style="7"/>
    <col min="12" max="12" width="6.5546875" style="7" customWidth="1"/>
    <col min="13" max="16384" width="8.88671875" style="7"/>
  </cols>
  <sheetData>
    <row r="1" spans="1:16" customFormat="1" x14ac:dyDescent="0.3">
      <c r="A1" s="4"/>
    </row>
    <row r="2" spans="1:16" customFormat="1" ht="37.200000000000003" thickBot="1" x14ac:dyDescent="0.75">
      <c r="A2" s="4"/>
      <c r="C2" s="72" t="s">
        <v>341</v>
      </c>
      <c r="D2" s="47"/>
      <c r="E2" s="47"/>
      <c r="F2" s="47"/>
      <c r="G2" s="47"/>
      <c r="H2" s="47"/>
      <c r="I2" s="47"/>
      <c r="J2" s="46"/>
      <c r="K2" s="46"/>
      <c r="L2" s="46"/>
      <c r="M2" s="46"/>
      <c r="N2" s="46"/>
      <c r="O2" s="46"/>
      <c r="P2" s="46"/>
    </row>
    <row r="3" spans="1:16" customFormat="1" ht="15" thickTop="1" x14ac:dyDescent="0.3">
      <c r="A3" s="4"/>
    </row>
    <row r="4" spans="1:16" ht="39" customHeight="1" x14ac:dyDescent="0.3"/>
    <row r="5" spans="1:16" ht="8.25" customHeight="1" x14ac:dyDescent="0.3"/>
    <row r="6" spans="1:16" ht="7.5" customHeight="1" x14ac:dyDescent="0.3"/>
    <row r="7" spans="1:16" ht="10.5" customHeight="1" x14ac:dyDescent="0.3"/>
    <row r="8" spans="1:16" ht="9.75" customHeight="1" x14ac:dyDescent="0.3"/>
    <row r="9" spans="1:16" ht="33" customHeight="1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fin1 Financeiro</cp:lastModifiedBy>
  <dcterms:created xsi:type="dcterms:W3CDTF">2024-12-19T13:13:10Z</dcterms:created>
  <dcterms:modified xsi:type="dcterms:W3CDTF">2026-01-20T16:52:51Z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